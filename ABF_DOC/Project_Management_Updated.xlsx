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Task Management" sheetId="2" state="visible" r:id="rId2"/>
    <sheet xmlns:r="http://schemas.openxmlformats.org/officeDocument/2006/relationships" name="Gantt_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5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1E293B"/>
      <sz val="9"/>
    </font>
    <font>
      <name val="Segoe UI"/>
      <b val="1"/>
      <color rgb="001E3A8A"/>
      <sz val="12"/>
    </font>
    <font>
      <name val="Segoe UI"/>
      <b val="1"/>
      <color rgb="00FFFFFF"/>
      <sz val="8"/>
    </font>
    <font>
      <name val="Segoe UI"/>
      <b val="1"/>
      <color rgb="0016A34A"/>
      <sz val="11"/>
    </font>
    <font>
      <name val="Segoe UI"/>
      <b val="1"/>
      <color rgb="002563EB"/>
      <sz val="11"/>
    </font>
    <font>
      <name val="Segoe UI"/>
      <b val="1"/>
      <color rgb="0094A3B8"/>
      <sz val="11"/>
    </font>
    <font>
      <name val="Segoe UI"/>
      <b val="1"/>
      <color rgb="001E293B"/>
      <sz val="10"/>
    </font>
    <font>
      <name val="Segoe UI"/>
      <b val="1"/>
      <color rgb="0016A34A"/>
      <sz val="9"/>
    </font>
    <font>
      <name val="Segoe UI"/>
      <b val="1"/>
      <color rgb="002563EB"/>
      <sz val="9"/>
    </font>
    <font>
      <name val="Segoe UI"/>
      <b val="1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4338CA"/>
        <bgColor rgb="004338CA"/>
      </patternFill>
    </fill>
    <fill>
      <patternFill patternType="solid">
        <fgColor rgb="000F766E"/>
        <bgColor rgb="000F766E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0" pivotButton="0" quotePrefix="0" xfId="0"/>
    <xf numFmtId="0" fontId="12" fillId="8" borderId="0" pivotButton="0" quotePrefix="0" xfId="0"/>
    <xf numFmtId="0" fontId="13" fillId="9" borderId="0" pivotButton="0" quotePrefix="0" xfId="0"/>
    <xf numFmtId="0" fontId="1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5" customWidth="1" min="3" max="3"/>
    <col width="28" customWidth="1" min="4" max="4"/>
    <col width="25" customWidth="1" min="5" max="5"/>
    <col width="14" customWidth="1" min="6" max="6"/>
    <col width="15" customWidth="1" min="7" max="7"/>
    <col width="16" customWidth="1" min="8" max="8"/>
    <col width="14" customWidth="1" min="9" max="9"/>
    <col width="12" customWidth="1" min="10" max="10"/>
    <col width="14" customWidth="1" min="11" max="11"/>
    <col width="38" customWidth="1" min="12" max="12"/>
  </cols>
  <sheetData>
    <row r="1">
      <c r="A1" s="1" t="inlineStr">
        <is>
          <t>DANH MỤC DỰ ÁN &amp; QUẢN TRỊ DANH MỤC (PORTFOLIO PROJECTS)</t>
        </is>
      </c>
    </row>
    <row r="2">
      <c r="A2" s="2" t="inlineStr">
        <is>
          <t>Theo dõi tiến độ tổng thể, PIC phụ trách, PIC phê duyệt cấp BOD và tỷ lệ hoàn thành theo thời gian thực.</t>
        </is>
      </c>
    </row>
    <row r="4" ht="32" customHeight="1">
      <c r="A4" s="3" t="inlineStr">
        <is>
          <t>Mã Dự Án</t>
        </is>
      </c>
      <c r="B4" s="3" t="inlineStr">
        <is>
          <t>Tên Dự Án (Tiếng Việt)</t>
        </is>
      </c>
      <c r="C4" s="3" t="inlineStr">
        <is>
          <t>Mục Tiêu &amp; Mô Tả Dự Án</t>
        </is>
      </c>
      <c r="D4" s="3" t="inlineStr">
        <is>
          <t>PIC Phụ Trách / Thực Hiện</t>
        </is>
      </c>
      <c r="E4" s="3" t="inlineStr">
        <is>
          <t>PIC Phê Duyệt (BOD/Lead)</t>
        </is>
      </c>
      <c r="F4" s="3" t="inlineStr">
        <is>
          <t>Ngày Bắt Đầu</t>
        </is>
      </c>
      <c r="G4" s="3" t="inlineStr">
        <is>
          <t>Ngày Kết Thúc Dự Kiến</t>
        </is>
      </c>
      <c r="H4" s="3" t="inlineStr">
        <is>
          <t>Trạng Thái Dự Án</t>
        </is>
      </c>
      <c r="I4" s="3" t="inlineStr">
        <is>
          <t>Tổng Sub-Tasks</t>
        </is>
      </c>
      <c r="J4" s="3" t="inlineStr">
        <is>
          <t>Tasks Xong</t>
        </is>
      </c>
      <c r="K4" s="3" t="inlineStr">
        <is>
          <t>Tiến Độ (%)</t>
        </is>
      </c>
      <c r="L4" s="3" t="inlineStr">
        <is>
          <t>Đánh Giá &amp; Rủi Ro</t>
        </is>
      </c>
    </row>
    <row r="5" ht="28" customHeight="1">
      <c r="A5" s="4" t="inlineStr">
        <is>
          <t>DA-01</t>
        </is>
      </c>
      <c r="B5" s="5" t="inlineStr">
        <is>
          <t>Tích hợp Chatbot AI Zalo Group</t>
        </is>
      </c>
      <c r="C5" s="6" t="inlineStr">
        <is>
          <t>Xây dựng trợ lý ảo AI tư vấn thẻ VIB ứng dụng mô hình RAG hoạt động trực tiếp trong Zalo Group chăm sóc khách hàng</t>
        </is>
      </c>
      <c r="D5" s="6" t="inlineStr">
        <is>
          <t>Đội BA, Đội Lập trình, Kỹ sư AI</t>
        </is>
      </c>
      <c r="E5" s="6" t="inlineStr">
        <is>
          <t>BOD (Trưởng ban Dự án)</t>
        </is>
      </c>
      <c r="F5" s="7" t="n">
        <v>46254</v>
      </c>
      <c r="G5" s="7" t="n">
        <v>46264</v>
      </c>
      <c r="H5" s="4" t="inlineStr">
        <is>
          <t>Đang thực hiện</t>
        </is>
      </c>
      <c r="I5" s="8">
        <f>COUNTIF('Task Management'!$C$24:$C$40, B5)</f>
        <v/>
      </c>
      <c r="J5" s="8">
        <f>COUNTIFS('Task Management'!$C$24:$C$40, B5, 'Task Management'!$L$24:$L$40, "Hoàn thành")</f>
        <v/>
      </c>
      <c r="K5" s="9">
        <f>IF(I5&gt;0, J5/I5, 0)</f>
        <v/>
      </c>
      <c r="L5" s="6" t="inlineStr">
        <is>
          <t>Đúng lộ trình, đang hoàn thiện module RAG và kiểm thử tin nhắn Zalo</t>
        </is>
      </c>
    </row>
    <row r="6" ht="28" customHeight="1">
      <c r="A6" s="4" t="inlineStr">
        <is>
          <t>DA-02</t>
        </is>
      </c>
      <c r="B6" s="5" t="inlineStr">
        <is>
          <t>Xử lý &amp; Khai phá Bình luận TikTok</t>
        </is>
      </c>
      <c r="C6" s="6" t="inlineStr">
        <is>
          <t>Hệ thống tự động cào bình luận kênh TikTok mục tiêu, phân tích cảm xúc và trích xuất insights bằng Gemini 2.5 Flash</t>
        </is>
      </c>
      <c r="D6" s="6" t="inlineStr">
        <is>
          <t>Kỹ sư AI, Kỹ sư Dữ liệu, Đội Dev</t>
        </is>
      </c>
      <c r="E6" s="6" t="inlineStr">
        <is>
          <t>BOD (Giám đốc Sản phẩm)</t>
        </is>
      </c>
      <c r="F6" s="7" t="n">
        <v>46255</v>
      </c>
      <c r="G6" s="7" t="n">
        <v>46263</v>
      </c>
      <c r="H6" s="4" t="inlineStr">
        <is>
          <t>Đang thực hiện</t>
        </is>
      </c>
      <c r="I6" s="8">
        <f>COUNTIF('Task Management'!$C$24:$C$40, B6)</f>
        <v/>
      </c>
      <c r="J6" s="8">
        <f>COUNTIFS('Task Management'!$C$24:$C$40, B6, 'Task Management'!$L$24:$L$40, "Hoàn thành")</f>
        <v/>
      </c>
      <c r="K6" s="9">
        <f>IF(I6&gt;0, J6/I6, 0)</f>
        <v/>
      </c>
      <c r="L6" s="6" t="inlineStr">
        <is>
          <t>Đã cào xong dữ liệu, đang huấn luyện trích xuất intent &amp; theo dõi đối thủ</t>
        </is>
      </c>
    </row>
    <row r="7" ht="28" customHeight="1">
      <c r="A7" s="4" t="inlineStr">
        <is>
          <t>DA-03</t>
        </is>
      </c>
      <c r="B7" s="5" t="inlineStr">
        <is>
          <t>Bảng Điều Hành Ban Giám Đốc (BOD)</t>
        </is>
      </c>
      <c r="C7" s="6" t="inlineStr">
        <is>
          <t>Giao diện Dashboard theo dõi chỉ số thời gian thực và Bot Telegram tự động báo cáo định kỳ hàng tuần cho Ban Lãnh Đạo</t>
        </is>
      </c>
      <c r="D7" s="6" t="inlineStr">
        <is>
          <t>Lập trình viên Fullstack, Chuyên viên Dữ liệu</t>
        </is>
      </c>
      <c r="E7" s="6" t="inlineStr">
        <is>
          <t>Tổng Giám Đốc (CEO / BOD)</t>
        </is>
      </c>
      <c r="F7" s="7" t="n">
        <v>46258</v>
      </c>
      <c r="G7" s="7" t="n">
        <v>46265</v>
      </c>
      <c r="H7" s="4" t="inlineStr">
        <is>
          <t>Đang thực hiện</t>
        </is>
      </c>
      <c r="I7" s="8">
        <f>COUNTIF('Task Management'!$C$24:$C$40, B7)</f>
        <v/>
      </c>
      <c r="J7" s="8">
        <f>COUNTIFS('Task Management'!$C$24:$C$40, B7, 'Task Management'!$L$24:$L$40, "Hoàn thành")</f>
        <v/>
      </c>
      <c r="K7" s="9">
        <f>IF(I7&gt;0, J7/I7, 0)</f>
        <v/>
      </c>
      <c r="L7" s="6" t="inlineStr">
        <is>
          <t>Telegram Bot đã sẵn sàng, giao diện web Streamlit đang gắn biểu đồ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32" customWidth="1" min="3" max="3"/>
    <col width="45" customWidth="1" min="4" max="4"/>
    <col width="16" customWidth="1" min="5" max="5"/>
    <col width="18" customWidth="1" min="6" max="6"/>
    <col width="20" customWidth="1" min="7" max="7"/>
    <col width="14" customWidth="1" min="8" max="8"/>
    <col width="13" customWidth="1" min="9" max="9"/>
    <col width="13" customWidth="1" min="10" max="10"/>
    <col width="14" customWidth="1" min="11" max="11"/>
    <col width="16" customWidth="1" min="12" max="12"/>
    <col width="12" customWidth="1" min="13" max="13"/>
    <col width="40" customWidth="1" min="14" max="14"/>
  </cols>
  <sheetData>
    <row r="1">
      <c r="A1" s="1" t="inlineStr">
        <is>
          <t>BẢNG ĐIỀU HÀNH &amp; PHÂN BỔ CÔNG VIỆC (TASK MANAGEMENT)</t>
        </is>
      </c>
    </row>
    <row r="2">
      <c r="A2" s="2" t="inlineStr">
        <is>
          <t>Quản lý 2 cấp độ: Bảng 1 - Hạng Mục Chính (Main Tasks) &amp; Bảng 2 - Công Việc Chi Tiết (Sub Tasks) đồng bộ tiến độ thời gian thực.</t>
        </is>
      </c>
    </row>
    <row r="4">
      <c r="A4" s="10" t="inlineStr">
        <is>
          <t>📌 BẢNG 1: QUẢN LÝ CÁC HẠNG MỤC CHÍNH (MAIN TASKS)</t>
        </is>
      </c>
    </row>
    <row r="5" ht="28" customHeight="1">
      <c r="A5" s="11" t="inlineStr">
        <is>
          <t>Mã Main Task</t>
        </is>
      </c>
      <c r="B5" s="11" t="inlineStr">
        <is>
          <t>Tên Hạng Mục Chính (Main Task)</t>
        </is>
      </c>
      <c r="C5" s="11" t="inlineStr">
        <is>
          <t>Thuộc Dự Án</t>
        </is>
      </c>
      <c r="D5" s="11" t="inlineStr">
        <is>
          <t>PIC Phụ Trách Chính</t>
        </is>
      </c>
      <c r="E5" s="11" t="inlineStr">
        <is>
          <t>PIC Phê Duyệt</t>
        </is>
      </c>
      <c r="F5" s="11" t="inlineStr">
        <is>
          <t>Ngày Bắt Đầu</t>
        </is>
      </c>
      <c r="G5" s="11" t="inlineStr">
        <is>
          <t>Hạn Chót</t>
        </is>
      </c>
      <c r="H5" s="11" t="inlineStr">
        <is>
          <t>Tổng Sub-Tasks</t>
        </is>
      </c>
      <c r="I5" s="11" t="inlineStr">
        <is>
          <t>Sub-Tasks Xong</t>
        </is>
      </c>
      <c r="J5" s="11" t="inlineStr">
        <is>
          <t>Tiến Độ (%)</t>
        </is>
      </c>
      <c r="K5" s="11" t="inlineStr">
        <is>
          <t>Trạng Thái</t>
        </is>
      </c>
      <c r="L5" s="11" t="inlineStr">
        <is>
          <t>Mô Tả Trọng Tâm</t>
        </is>
      </c>
    </row>
    <row r="6" ht="24" customHeight="1">
      <c r="A6" s="12" t="inlineStr">
        <is>
          <t>MT-01</t>
        </is>
      </c>
      <c r="B6" s="13" t="inlineStr">
        <is>
          <t>1. Thiết kế Cơ sở Dữ liệu &amp; Kiến trúc</t>
        </is>
      </c>
      <c r="C6" s="14" t="inlineStr">
        <is>
          <t>Tích hợp Chatbot AI Zalo Group</t>
        </is>
      </c>
      <c r="D6" s="14" t="inlineStr">
        <is>
          <t>Đội BA</t>
        </is>
      </c>
      <c r="E6" s="14" t="inlineStr">
        <is>
          <t>Tech Lead</t>
        </is>
      </c>
      <c r="F6" s="15" t="n">
        <v>46254</v>
      </c>
      <c r="G6" s="15" t="n">
        <v>46256</v>
      </c>
      <c r="H6" s="16">
        <f>COUNTIF($B$24:$B$40, A6)</f>
        <v/>
      </c>
      <c r="I6" s="16">
        <f>COUNTIFS($B$24:$B$40, A6, $L$24:$L$40, "Hoàn thành")</f>
        <v/>
      </c>
      <c r="J6" s="17">
        <f>IF(H6&gt;0, I6/H6, 0)</f>
        <v/>
      </c>
      <c r="K6" s="12" t="inlineStr">
        <is>
          <t>Hoàn thành</t>
        </is>
      </c>
      <c r="L6" s="14" t="inlineStr">
        <is>
          <t>Thiết lập cấu trúc CSDL PostgreSQL và schema hệ thống</t>
        </is>
      </c>
    </row>
    <row r="7" ht="24" customHeight="1">
      <c r="A7" s="4" t="inlineStr">
        <is>
          <t>MT-02</t>
        </is>
      </c>
      <c r="B7" s="5" t="inlineStr">
        <is>
          <t>2. Phát triển Engine AI RAG &amp; Logic Thẻ</t>
        </is>
      </c>
      <c r="C7" s="6" t="inlineStr">
        <is>
          <t>Tích hợp Chatbot AI Zalo Group</t>
        </is>
      </c>
      <c r="D7" s="6" t="inlineStr">
        <is>
          <t>Đội Dev</t>
        </is>
      </c>
      <c r="E7" s="6" t="inlineStr">
        <is>
          <t>Tech Lead</t>
        </is>
      </c>
      <c r="F7" s="7" t="n">
        <v>46257</v>
      </c>
      <c r="G7" s="7" t="n">
        <v>46261</v>
      </c>
      <c r="H7" s="8">
        <f>COUNTIF($B$24:$B$40, A7)</f>
        <v/>
      </c>
      <c r="I7" s="8">
        <f>COUNTIFS($B$24:$B$40, A7, $L$24:$L$40, "Hoàn thành")</f>
        <v/>
      </c>
      <c r="J7" s="9">
        <f>IF(H7&gt;0, I7/H7, 0)</f>
        <v/>
      </c>
      <c r="K7" s="4" t="inlineStr">
        <is>
          <t>Đang thực hiện</t>
        </is>
      </c>
      <c r="L7" s="6" t="inlineStr">
        <is>
          <t>Embedding vector search và logic trả lời tư vấn thẻ</t>
        </is>
      </c>
    </row>
    <row r="8" ht="24" customHeight="1">
      <c r="A8" s="12" t="inlineStr">
        <is>
          <t>MT-03</t>
        </is>
      </c>
      <c r="B8" s="13" t="inlineStr">
        <is>
          <t>3. Tích hợp Zalo Webhook &amp; Realtime Sync</t>
        </is>
      </c>
      <c r="C8" s="14" t="inlineStr">
        <is>
          <t>Tích hợp Chatbot AI Zalo Group</t>
        </is>
      </c>
      <c r="D8" s="14" t="inlineStr">
        <is>
          <t>Kỹ sư AI</t>
        </is>
      </c>
      <c r="E8" s="14" t="inlineStr">
        <is>
          <t>BOD (Trưởng ban DA)</t>
        </is>
      </c>
      <c r="F8" s="15" t="n">
        <v>46259</v>
      </c>
      <c r="G8" s="15" t="n">
        <v>46259</v>
      </c>
      <c r="H8" s="16">
        <f>COUNTIF($B$24:$B$40, A8)</f>
        <v/>
      </c>
      <c r="I8" s="16">
        <f>COUNTIFS($B$24:$B$40, A8, $L$24:$L$40, "Hoàn thành")</f>
        <v/>
      </c>
      <c r="J8" s="17">
        <f>IF(H8&gt;0, I8/H8, 0)</f>
        <v/>
      </c>
      <c r="K8" s="12" t="inlineStr">
        <is>
          <t>Hoàn thành</t>
        </is>
      </c>
      <c r="L8" s="14" t="inlineStr">
        <is>
          <t>BOD yêu cầu: Đồng bộ trả lời thời gian thực trên Zalo Group</t>
        </is>
      </c>
    </row>
    <row r="9" ht="24" customHeight="1">
      <c r="A9" s="4" t="inlineStr">
        <is>
          <t>MT-04</t>
        </is>
      </c>
      <c r="B9" s="5" t="inlineStr">
        <is>
          <t>1. Hệ thống Thu thập Dữ liệu (Scraping)</t>
        </is>
      </c>
      <c r="C9" s="6" t="inlineStr">
        <is>
          <t>Xử lý &amp; Khai phá Bình luận TikTok</t>
        </is>
      </c>
      <c r="D9" s="6" t="inlineStr">
        <is>
          <t>Đội Dev</t>
        </is>
      </c>
      <c r="E9" s="6" t="inlineStr">
        <is>
          <t>Product Lead</t>
        </is>
      </c>
      <c r="F9" s="7" t="n">
        <v>46255</v>
      </c>
      <c r="G9" s="7" t="n">
        <v>46257</v>
      </c>
      <c r="H9" s="8">
        <f>COUNTIF($B$24:$B$40, A9)</f>
        <v/>
      </c>
      <c r="I9" s="8">
        <f>COUNTIFS($B$24:$B$40, A9, $L$24:$L$40, "Hoàn thành")</f>
        <v/>
      </c>
      <c r="J9" s="9">
        <f>IF(H9&gt;0, I9/H9, 0)</f>
        <v/>
      </c>
      <c r="K9" s="4" t="inlineStr">
        <is>
          <t>Hoàn thành</t>
        </is>
      </c>
      <c r="L9" s="6" t="inlineStr">
        <is>
          <t>Tích hợp Apify API tự động cào bình luận định kỳ</t>
        </is>
      </c>
    </row>
    <row r="10" ht="24" customHeight="1">
      <c r="A10" s="12" t="inlineStr">
        <is>
          <t>MT-05</t>
        </is>
      </c>
      <c r="B10" s="13" t="inlineStr">
        <is>
          <t>2. AI Phân tích &amp; Trích xuất Insights</t>
        </is>
      </c>
      <c r="C10" s="14" t="inlineStr">
        <is>
          <t>Xử lý &amp; Khai phá Bình luận TikTok</t>
        </is>
      </c>
      <c r="D10" s="14" t="inlineStr">
        <is>
          <t>Kỹ sư AI</t>
        </is>
      </c>
      <c r="E10" s="14" t="inlineStr">
        <is>
          <t>Product Lead</t>
        </is>
      </c>
      <c r="F10" s="15" t="n">
        <v>46258</v>
      </c>
      <c r="G10" s="15" t="n">
        <v>46262</v>
      </c>
      <c r="H10" s="16">
        <f>COUNTIF($B$24:$B$40, A10)</f>
        <v/>
      </c>
      <c r="I10" s="16">
        <f>COUNTIFS($B$24:$B$40, A10, $L$24:$L$40, "Hoàn thành")</f>
        <v/>
      </c>
      <c r="J10" s="17">
        <f>IF(H10&gt;0, I10/H10, 0)</f>
        <v/>
      </c>
      <c r="K10" s="12" t="inlineStr">
        <is>
          <t>Đang thực hiện</t>
        </is>
      </c>
      <c r="L10" s="14" t="inlineStr">
        <is>
          <t>Trích xuất cảm xúc, nhu cầu mở thẻ bằng Gemini 2.5 Flash</t>
        </is>
      </c>
    </row>
    <row r="11" ht="24" customHeight="1">
      <c r="A11" s="4" t="inlineStr">
        <is>
          <t>MT-06</t>
        </is>
      </c>
      <c r="B11" s="5" t="inlineStr">
        <is>
          <t>3. Giám sát Đối thủ &amp; Chiến dịch Promo</t>
        </is>
      </c>
      <c r="C11" s="6" t="inlineStr">
        <is>
          <t>Xử lý &amp; Khai phá Bình luận TikTok</t>
        </is>
      </c>
      <c r="D11" s="6" t="inlineStr">
        <is>
          <t>Kỹ sư AI</t>
        </is>
      </c>
      <c r="E11" s="6" t="inlineStr">
        <is>
          <t>BOD (Giám đốc Sản phẩm)</t>
        </is>
      </c>
      <c r="F11" s="7" t="n">
        <v>46260</v>
      </c>
      <c r="G11" s="7" t="n">
        <v>46263</v>
      </c>
      <c r="H11" s="8">
        <f>COUNTIF($B$24:$B$40, A11)</f>
        <v/>
      </c>
      <c r="I11" s="8">
        <f>COUNTIFS($B$24:$B$40, A11, $L$24:$L$40, "Hoàn thành")</f>
        <v/>
      </c>
      <c r="J11" s="9">
        <f>IF(H11&gt;0, I11/H11, 0)</f>
        <v/>
      </c>
      <c r="K11" s="4" t="inlineStr">
        <is>
          <t>Chưa bắt đầu</t>
        </is>
      </c>
      <c r="L11" s="6" t="inlineStr">
        <is>
          <t>BOD yêu cầu: Theo dõi chiến dịch thẻ VPBank, Techcombank</t>
        </is>
      </c>
    </row>
    <row r="12" ht="24" customHeight="1">
      <c r="A12" s="12" t="inlineStr">
        <is>
          <t>MT-07</t>
        </is>
      </c>
      <c r="B12" s="13" t="inlineStr">
        <is>
          <t>1. Xây dựng Giao diện Điều hành (Web App)</t>
        </is>
      </c>
      <c r="C12" s="14" t="inlineStr">
        <is>
          <t>Bảng Điều Hành Ban Giám Đốc (BOD)</t>
        </is>
      </c>
      <c r="D12" s="14" t="inlineStr">
        <is>
          <t>Fullstack Dev</t>
        </is>
      </c>
      <c r="E12" s="14" t="inlineStr">
        <is>
          <t>CEO / BOD</t>
        </is>
      </c>
      <c r="F12" s="15" t="n">
        <v>46258</v>
      </c>
      <c r="G12" s="15" t="n">
        <v>46260</v>
      </c>
      <c r="H12" s="16">
        <f>COUNTIF($B$24:$B$40, A12)</f>
        <v/>
      </c>
      <c r="I12" s="16">
        <f>COUNTIFS($B$24:$B$40, A12, $L$24:$L$40, "Hoàn thành")</f>
        <v/>
      </c>
      <c r="J12" s="17">
        <f>IF(H12&gt;0, I12/H12, 0)</f>
        <v/>
      </c>
      <c r="K12" s="12" t="inlineStr">
        <is>
          <t>Đang thực hiện</t>
        </is>
      </c>
      <c r="L12" s="14" t="inlineStr">
        <is>
          <t>Giao diện Streamlit tương tác lọc theo ngày, kênh, chỉ số</t>
        </is>
      </c>
    </row>
    <row r="13" ht="24" customHeight="1">
      <c r="A13" s="4" t="inlineStr">
        <is>
          <t>MT-08</t>
        </is>
      </c>
      <c r="B13" s="5" t="inlineStr">
        <is>
          <t>2. Tự động hóa Báo cáo Định kỳ (Telegram)</t>
        </is>
      </c>
      <c r="C13" s="6" t="inlineStr">
        <is>
          <t>Bảng Điều Hành Ban Giám Đốc (BOD)</t>
        </is>
      </c>
      <c r="D13" s="6" t="inlineStr">
        <is>
          <t>Fullstack Dev</t>
        </is>
      </c>
      <c r="E13" s="6" t="inlineStr">
        <is>
          <t>CEO / BOD</t>
        </is>
      </c>
      <c r="F13" s="7" t="n">
        <v>46259</v>
      </c>
      <c r="G13" s="7" t="n">
        <v>46260</v>
      </c>
      <c r="H13" s="8">
        <f>COUNTIF($B$24:$B$40, A13)</f>
        <v/>
      </c>
      <c r="I13" s="8">
        <f>COUNTIFS($B$24:$B$40, A13, $L$24:$L$40, "Hoàn thành")</f>
        <v/>
      </c>
      <c r="J13" s="9">
        <f>IF(H13&gt;0, I13/H13, 0)</f>
        <v/>
      </c>
      <c r="K13" s="4" t="inlineStr">
        <is>
          <t>Hoàn thành</t>
        </is>
      </c>
      <c r="L13" s="6" t="inlineStr">
        <is>
          <t>BOD yêu cầu: Bot Telegram tự động gửi báo cáo tóm tắt sáng thứ 2</t>
        </is>
      </c>
    </row>
    <row r="22">
      <c r="A22" s="10" t="inlineStr">
        <is>
          <t>📝 BẢNG 2: QUẢN LÝ CÔNG VIỆC CHI TIẾT (SUB TASKS)</t>
        </is>
      </c>
    </row>
    <row r="23" ht="28" customHeight="1">
      <c r="A23" s="18" t="inlineStr">
        <is>
          <t>Mã Sub Task</t>
        </is>
      </c>
      <c r="B23" s="18" t="inlineStr">
        <is>
          <t>Thuộc Main Task</t>
        </is>
      </c>
      <c r="C23" s="18" t="inlineStr">
        <is>
          <t>Thuộc Dự Án</t>
        </is>
      </c>
      <c r="D23" s="18" t="inlineStr">
        <is>
          <t>Nội Dung Công Việc Chi Tiết (Sub Task)</t>
        </is>
      </c>
      <c r="E23" s="18" t="inlineStr">
        <is>
          <t>Phân Loại Task</t>
        </is>
      </c>
      <c r="F23" s="18" t="inlineStr">
        <is>
          <t>PIC Thực Hiện</t>
        </is>
      </c>
      <c r="G23" s="18" t="inlineStr">
        <is>
          <t>PIC Phê Duyệt</t>
        </is>
      </c>
      <c r="H23" s="18" t="inlineStr">
        <is>
          <t>Mức Ưu Tiên</t>
        </is>
      </c>
      <c r="I23" s="18" t="inlineStr">
        <is>
          <t>Ngày Bắt Đầu</t>
        </is>
      </c>
      <c r="J23" s="18" t="inlineStr">
        <is>
          <t>Hạn Chót (Due Date)</t>
        </is>
      </c>
      <c r="K23" s="18" t="inlineStr">
        <is>
          <t>Ngày Xong Thực Tế</t>
        </is>
      </c>
      <c r="L23" s="18" t="inlineStr">
        <is>
          <t>Trạng Thái</t>
        </is>
      </c>
      <c r="M23" s="18" t="inlineStr">
        <is>
          <t>Tiến Độ</t>
        </is>
      </c>
      <c r="N23" s="18" t="inlineStr">
        <is>
          <t>Ghi Chú / Link Báo Cáo</t>
        </is>
      </c>
    </row>
    <row r="24" ht="24" customHeight="1">
      <c r="A24" s="12" t="inlineStr">
        <is>
          <t>ST-001</t>
        </is>
      </c>
      <c r="B24" s="12" t="inlineStr">
        <is>
          <t>MT-01</t>
        </is>
      </c>
      <c r="C24" s="14" t="inlineStr">
        <is>
          <t>Tích hợp Chatbot AI Zalo Group</t>
        </is>
      </c>
      <c r="D24" s="14" t="inlineStr">
        <is>
          <t>Khởi tạo Supabase PostgreSQL DB Schema (Bảng comments, insights, chat_logs)</t>
        </is>
      </c>
      <c r="E24" s="19" t="inlineStr">
        <is>
          <t>Kế hoạch</t>
        </is>
      </c>
      <c r="F24" s="14" t="inlineStr">
        <is>
          <t>Đội BA</t>
        </is>
      </c>
      <c r="G24" s="14" t="inlineStr">
        <is>
          <t>Tech Lead</t>
        </is>
      </c>
      <c r="H24" s="19" t="inlineStr">
        <is>
          <t>Cao</t>
        </is>
      </c>
      <c r="I24" s="15" t="n">
        <v>46254</v>
      </c>
      <c r="J24" s="15" t="n">
        <v>46256</v>
      </c>
      <c r="K24" s="15" t="n">
        <v>46256</v>
      </c>
      <c r="L24" s="12" t="inlineStr">
        <is>
          <t>Hoàn thành</t>
        </is>
      </c>
      <c r="M24" s="17" t="n">
        <v>1</v>
      </c>
      <c r="N24" s="14" t="inlineStr">
        <is>
          <t>Đã hoàn thành khởi tạo bảng và index tìm kiếm</t>
        </is>
      </c>
    </row>
    <row r="25" ht="24" customHeight="1">
      <c r="A25" s="4" t="inlineStr">
        <is>
          <t>ST-002</t>
        </is>
      </c>
      <c r="B25" s="4" t="inlineStr">
        <is>
          <t>MT-02</t>
        </is>
      </c>
      <c r="C25" s="6" t="inlineStr">
        <is>
          <t>Tích hợp Chatbot AI Zalo Group</t>
        </is>
      </c>
      <c r="D25" s="6" t="inlineStr">
        <is>
          <t>Cài đặt thuật toán RAG Semantic Search &amp; Bộ quy tắc tư vấn thẻ tín dụng VIB</t>
        </is>
      </c>
      <c r="E25" s="20" t="inlineStr">
        <is>
          <t>Kế hoạch</t>
        </is>
      </c>
      <c r="F25" s="6" t="inlineStr">
        <is>
          <t>Đội Dev</t>
        </is>
      </c>
      <c r="G25" s="6" t="inlineStr">
        <is>
          <t>Tech Lead</t>
        </is>
      </c>
      <c r="H25" s="20" t="inlineStr">
        <is>
          <t>Cao</t>
        </is>
      </c>
      <c r="I25" s="7" t="n">
        <v>46257</v>
      </c>
      <c r="J25" s="7" t="n">
        <v>46261</v>
      </c>
      <c r="K25" s="7" t="n"/>
      <c r="L25" s="4" t="inlineStr">
        <is>
          <t>Đang thực hiện</t>
        </is>
      </c>
      <c r="M25" s="9" t="n">
        <v>0.8</v>
      </c>
      <c r="N25" s="6" t="inlineStr">
        <is>
          <t>Sử dụng text-embedding-3-small, đang tinh chỉnh prompt</t>
        </is>
      </c>
    </row>
    <row r="26" ht="24" customHeight="1">
      <c r="A26" s="12" t="inlineStr">
        <is>
          <t>ST-003</t>
        </is>
      </c>
      <c r="B26" s="12" t="inlineStr">
        <is>
          <t>MT-03</t>
        </is>
      </c>
      <c r="C26" s="14" t="inlineStr">
        <is>
          <t>Tích hợp Chatbot AI Zalo Group</t>
        </is>
      </c>
      <c r="D26" s="14" t="inlineStr">
        <is>
          <t>BOD Yêu cầu khẩn: Đồng bộ tin nhắn phản hồi real-time vào Zalo Group khách hàng</t>
        </is>
      </c>
      <c r="E26" s="19" t="inlineStr">
        <is>
          <t>BOD Giao thêm</t>
        </is>
      </c>
      <c r="F26" s="14" t="inlineStr">
        <is>
          <t>Kỹ sư AI</t>
        </is>
      </c>
      <c r="G26" s="14" t="inlineStr">
        <is>
          <t>BOD (Trưởng ban DA)</t>
        </is>
      </c>
      <c r="H26" s="19" t="inlineStr">
        <is>
          <t>Khẩn cấp</t>
        </is>
      </c>
      <c r="I26" s="15" t="n">
        <v>46259</v>
      </c>
      <c r="J26" s="15" t="n">
        <v>46259</v>
      </c>
      <c r="K26" s="15" t="n">
        <v>46259</v>
      </c>
      <c r="L26" s="12" t="inlineStr">
        <is>
          <t>Hoàn thành</t>
        </is>
      </c>
      <c r="M26" s="17" t="n">
        <v>1</v>
      </c>
      <c r="N26" s="14" t="inlineStr">
        <is>
          <t>Đã xử lý xong webhook phản hồi &lt; 1s</t>
        </is>
      </c>
    </row>
    <row r="27" ht="24" customHeight="1">
      <c r="A27" s="4" t="inlineStr">
        <is>
          <t>ST-004</t>
        </is>
      </c>
      <c r="B27" s="4" t="inlineStr">
        <is>
          <t>MT-04</t>
        </is>
      </c>
      <c r="C27" s="6" t="inlineStr">
        <is>
          <t>Xử lý &amp; Khai phá Bình luận TikTok</t>
        </is>
      </c>
      <c r="D27" s="6" t="inlineStr">
        <is>
          <t>Tích hợp API Apify TikTok Scraper &amp; Lập lịch tự động cào bình luận kênh mục tiêu</t>
        </is>
      </c>
      <c r="E27" s="20" t="inlineStr">
        <is>
          <t>Kế hoạch</t>
        </is>
      </c>
      <c r="F27" s="6" t="inlineStr">
        <is>
          <t>Đội Dev</t>
        </is>
      </c>
      <c r="G27" s="6" t="inlineStr">
        <is>
          <t>Product Lead</t>
        </is>
      </c>
      <c r="H27" s="20" t="inlineStr">
        <is>
          <t>Cao</t>
        </is>
      </c>
      <c r="I27" s="7" t="n">
        <v>46255</v>
      </c>
      <c r="J27" s="7" t="n">
        <v>46257</v>
      </c>
      <c r="K27" s="7" t="n">
        <v>46257</v>
      </c>
      <c r="L27" s="4" t="inlineStr">
        <is>
          <t>Hoàn thành</t>
        </is>
      </c>
      <c r="M27" s="9" t="n">
        <v>1</v>
      </c>
      <c r="N27" s="6" t="inlineStr">
        <is>
          <t>Đã tự động cào 500+ bình luận mỗi ngày</t>
        </is>
      </c>
    </row>
    <row r="28" ht="24" customHeight="1">
      <c r="A28" s="12" t="inlineStr">
        <is>
          <t>ST-005</t>
        </is>
      </c>
      <c r="B28" s="12" t="inlineStr">
        <is>
          <t>MT-05</t>
        </is>
      </c>
      <c r="C28" s="14" t="inlineStr">
        <is>
          <t>Xử lý &amp; Khai phá Bình luận TikTok</t>
        </is>
      </c>
      <c r="D28" s="14" t="inlineStr">
        <is>
          <t>Xây dựng pipeline phân tích cảm xúc &amp; trích xuất nhu cầu mở thẻ với Gemini 2.5 Flash</t>
        </is>
      </c>
      <c r="E28" s="19" t="inlineStr">
        <is>
          <t>Kế hoạch</t>
        </is>
      </c>
      <c r="F28" s="14" t="inlineStr">
        <is>
          <t>Kỹ sư AI</t>
        </is>
      </c>
      <c r="G28" s="14" t="inlineStr">
        <is>
          <t>Product Lead</t>
        </is>
      </c>
      <c r="H28" s="19" t="inlineStr">
        <is>
          <t>Trung bình</t>
        </is>
      </c>
      <c r="I28" s="15" t="n">
        <v>46258</v>
      </c>
      <c r="J28" s="15" t="n">
        <v>46262</v>
      </c>
      <c r="K28" s="15" t="n"/>
      <c r="L28" s="12" t="inlineStr">
        <is>
          <t>Đang thực hiện</t>
        </is>
      </c>
      <c r="M28" s="17" t="n">
        <v>0.7</v>
      </c>
      <c r="N28" s="14" t="inlineStr">
        <is>
          <t>Đầu ra chuẩn Structured JSON phục vụ Dashboard</t>
        </is>
      </c>
    </row>
    <row r="29" ht="24" customHeight="1">
      <c r="A29" s="4" t="inlineStr">
        <is>
          <t>ST-006</t>
        </is>
      </c>
      <c r="B29" s="4" t="inlineStr">
        <is>
          <t>MT-06</t>
        </is>
      </c>
      <c r="C29" s="6" t="inlineStr">
        <is>
          <t>Xử lý &amp; Khai phá Bình luận TikTok</t>
        </is>
      </c>
      <c r="D29" s="6" t="inlineStr">
        <is>
          <t>BOD Yêu cầu: Theo dõi chiến dịch khuyến mãi &amp; phản hồi khách hàng đối thủ VPBank, Techcombank</t>
        </is>
      </c>
      <c r="E29" s="20" t="inlineStr">
        <is>
          <t>BOD Giao thêm</t>
        </is>
      </c>
      <c r="F29" s="6" t="inlineStr">
        <is>
          <t>Kỹ sư AI</t>
        </is>
      </c>
      <c r="G29" s="6" t="inlineStr">
        <is>
          <t>BOD (Giám đốc Sản phẩm)</t>
        </is>
      </c>
      <c r="H29" s="20" t="inlineStr">
        <is>
          <t>Cao</t>
        </is>
      </c>
      <c r="I29" s="7" t="n">
        <v>46260</v>
      </c>
      <c r="J29" s="7" t="n">
        <v>46263</v>
      </c>
      <c r="K29" s="7" t="n"/>
      <c r="L29" s="4" t="inlineStr">
        <is>
          <t>Chưa bắt đầu</t>
        </is>
      </c>
      <c r="M29" s="9" t="n">
        <v>0</v>
      </c>
      <c r="N29" s="6" t="inlineStr">
        <is>
          <t>Đã thu thập danh sách URL kênh đối thủ</t>
        </is>
      </c>
    </row>
    <row r="30" ht="24" customHeight="1">
      <c r="A30" s="12" t="inlineStr">
        <is>
          <t>ST-007</t>
        </is>
      </c>
      <c r="B30" s="12" t="inlineStr">
        <is>
          <t>MT-07</t>
        </is>
      </c>
      <c r="C30" s="14" t="inlineStr">
        <is>
          <t>Bảng Điều Hành Ban Giám Đốc (BOD)</t>
        </is>
      </c>
      <c r="D30" s="14" t="inlineStr">
        <is>
          <t>Phát triển giao diện Streamlit Executive Dashboard với bộ lọc và biểu đồ phân tích sâu</t>
        </is>
      </c>
      <c r="E30" s="19" t="inlineStr">
        <is>
          <t>Kế hoạch</t>
        </is>
      </c>
      <c r="F30" s="14" t="inlineStr">
        <is>
          <t>Fullstack Dev</t>
        </is>
      </c>
      <c r="G30" s="14" t="inlineStr">
        <is>
          <t>CEO / BOD</t>
        </is>
      </c>
      <c r="H30" s="19" t="inlineStr">
        <is>
          <t>Cao</t>
        </is>
      </c>
      <c r="I30" s="15" t="n">
        <v>46258</v>
      </c>
      <c r="J30" s="15" t="n">
        <v>46260</v>
      </c>
      <c r="K30" s="15" t="n"/>
      <c r="L30" s="12" t="inlineStr">
        <is>
          <t>Đang thực hiện</t>
        </is>
      </c>
      <c r="M30" s="17" t="n">
        <v>0.85</v>
      </c>
      <c r="N30" s="14" t="inlineStr">
        <is>
          <t>Đã gắn xong bộ lọc và đồ thị tỷ lệ chuyển đổi</t>
        </is>
      </c>
    </row>
    <row r="31" ht="24" customHeight="1">
      <c r="A31" s="4" t="inlineStr">
        <is>
          <t>ST-008</t>
        </is>
      </c>
      <c r="B31" s="4" t="inlineStr">
        <is>
          <t>MT-08</t>
        </is>
      </c>
      <c r="C31" s="6" t="inlineStr">
        <is>
          <t>Bảng Điều Hành Ban Giám Đốc (BOD)</t>
        </is>
      </c>
      <c r="D31" s="6" t="inlineStr">
        <is>
          <t>BOD Yêu cầu: Xây dựng Telegram Bot tự động gửi thông báo báo cáo tuần định kỳ cho Ban Giám Đốc</t>
        </is>
      </c>
      <c r="E31" s="20" t="inlineStr">
        <is>
          <t>BOD Giao thêm</t>
        </is>
      </c>
      <c r="F31" s="6" t="inlineStr">
        <is>
          <t>Fullstack Dev</t>
        </is>
      </c>
      <c r="G31" s="6" t="inlineStr">
        <is>
          <t>CEO / BOD</t>
        </is>
      </c>
      <c r="H31" s="20" t="inlineStr">
        <is>
          <t>Cao</t>
        </is>
      </c>
      <c r="I31" s="7" t="n">
        <v>46259</v>
      </c>
      <c r="J31" s="7" t="n">
        <v>46260</v>
      </c>
      <c r="K31" s="7" t="n">
        <v>46260</v>
      </c>
      <c r="L31" s="4" t="inlineStr">
        <is>
          <t>Hoàn thành</t>
        </is>
      </c>
      <c r="M31" s="9" t="n">
        <v>1</v>
      </c>
      <c r="N31" s="6" t="inlineStr">
        <is>
          <t>Đã lập lịch n8n cron trigger gửi 8h sáng thứ Hai</t>
        </is>
      </c>
    </row>
  </sheetData>
  <dataValidations count="3">
    <dataValidation sqref="E24:E100" showDropDown="0" showInputMessage="0" showErrorMessage="0" allowBlank="1" type="list">
      <formula1>"Kế hoạch,BOD Giao thêm,Phát sinh"</formula1>
    </dataValidation>
    <dataValidation sqref="H24:H100" showDropDown="0" showInputMessage="0" showErrorMessage="0" allowBlank="1" type="list">
      <formula1>"Khẩn cấp,Cao,Trung bình,Thấp"</formula1>
    </dataValidation>
    <dataValidation sqref="K6:K15 L24:L100" showDropDown="0" showInputMessage="0" showErrorMessage="0" allowBlank="1" type="list">
      <formula1>"Chưa bắt đầu,Đang thực hiện,Chờ duyệt,Hoàn thành,Tạm hoãn"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16" customWidth="1" min="4" max="4"/>
    <col width="13" customWidth="1" min="5" max="5"/>
    <col width="13" customWidth="1" min="6" max="6"/>
    <col width="11" customWidth="1" min="7" max="7"/>
    <col width="16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</cols>
  <sheetData>
    <row r="1">
      <c r="A1" s="1" t="inlineStr">
        <is>
          <t>BIỂU ĐỒ TIẾN ĐỘ DỰ ÁN &amp; CÔNG VIỆC (GANTT CHART)</t>
        </is>
      </c>
    </row>
    <row r="2">
      <c r="A2" s="2" t="inlineStr">
        <is>
          <t>Trực quan hóa timeline thực hiện của từng Main Task / Sub Task theo từng ngày từ 20/08/2026 đến 05/09/2026.</t>
        </is>
      </c>
    </row>
    <row r="4" ht="28" customHeight="1">
      <c r="A4" s="21" t="inlineStr">
        <is>
          <t>Mã Sub Task</t>
        </is>
      </c>
      <c r="B4" s="21" t="inlineStr">
        <is>
          <t>Thuộc Dự Án</t>
        </is>
      </c>
      <c r="C4" s="21" t="inlineStr">
        <is>
          <t>Công Việc Chi Tiết</t>
        </is>
      </c>
      <c r="D4" s="21" t="inlineStr">
        <is>
          <t>PIC</t>
        </is>
      </c>
      <c r="E4" s="21" t="inlineStr">
        <is>
          <t>Bắt Đầu</t>
        </is>
      </c>
      <c r="F4" s="21" t="inlineStr">
        <is>
          <t>Hạn Chót</t>
        </is>
      </c>
      <c r="G4" s="21" t="inlineStr">
        <is>
          <t>Tiến Độ</t>
        </is>
      </c>
      <c r="H4" s="21" t="inlineStr">
        <is>
          <t>Trạng Thái</t>
        </is>
      </c>
      <c r="I4" s="22" t="inlineStr">
        <is>
          <t>20/08</t>
        </is>
      </c>
      <c r="J4" s="22" t="inlineStr">
        <is>
          <t>21/08</t>
        </is>
      </c>
      <c r="K4" s="22" t="inlineStr">
        <is>
          <t>22/08</t>
        </is>
      </c>
      <c r="L4" s="22" t="inlineStr">
        <is>
          <t>23/08</t>
        </is>
      </c>
      <c r="M4" s="22" t="inlineStr">
        <is>
          <t>24/08</t>
        </is>
      </c>
      <c r="N4" s="22" t="inlineStr">
        <is>
          <t>25/08</t>
        </is>
      </c>
      <c r="O4" s="22" t="inlineStr">
        <is>
          <t>26/08</t>
        </is>
      </c>
      <c r="P4" s="22" t="inlineStr">
        <is>
          <t>27/08</t>
        </is>
      </c>
      <c r="Q4" s="22" t="inlineStr">
        <is>
          <t>28/08</t>
        </is>
      </c>
      <c r="R4" s="22" t="inlineStr">
        <is>
          <t>29/08</t>
        </is>
      </c>
      <c r="S4" s="22" t="inlineStr">
        <is>
          <t>30/08</t>
        </is>
      </c>
      <c r="T4" s="22" t="inlineStr">
        <is>
          <t>31/08</t>
        </is>
      </c>
      <c r="U4" s="22" t="inlineStr">
        <is>
          <t>01/09</t>
        </is>
      </c>
      <c r="V4" s="22" t="inlineStr">
        <is>
          <t>02/09</t>
        </is>
      </c>
      <c r="W4" s="22" t="inlineStr">
        <is>
          <t>03/09</t>
        </is>
      </c>
      <c r="X4" s="22" t="inlineStr">
        <is>
          <t>04/09</t>
        </is>
      </c>
      <c r="Y4" s="22" t="inlineStr">
        <is>
          <t>05/09</t>
        </is>
      </c>
    </row>
    <row r="5" ht="24" customHeight="1">
      <c r="A5" s="4">
        <f>'Task Management'!A24</f>
        <v/>
      </c>
      <c r="B5" s="6">
        <f>'Task Management'!C24</f>
        <v/>
      </c>
      <c r="C5" s="6">
        <f>'Task Management'!D24</f>
        <v/>
      </c>
      <c r="D5" s="20">
        <f>'Task Management'!F24</f>
        <v/>
      </c>
      <c r="E5" s="7">
        <f>'Task Management'!I24</f>
        <v/>
      </c>
      <c r="F5" s="7">
        <f>'Task Management'!J24</f>
        <v/>
      </c>
      <c r="G5" s="23">
        <f>'Task Management'!M24</f>
        <v/>
      </c>
      <c r="H5" s="4">
        <f>'Task Management'!L24</f>
        <v/>
      </c>
      <c r="I5" s="24" t="inlineStr">
        <is>
          <t>■</t>
        </is>
      </c>
      <c r="J5" s="24" t="inlineStr">
        <is>
          <t>■</t>
        </is>
      </c>
      <c r="K5" s="24" t="inlineStr">
        <is>
          <t>■</t>
        </is>
      </c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</row>
    <row r="6" ht="24" customHeight="1">
      <c r="A6" s="4">
        <f>'Task Management'!A25</f>
        <v/>
      </c>
      <c r="B6" s="6">
        <f>'Task Management'!C25</f>
        <v/>
      </c>
      <c r="C6" s="6">
        <f>'Task Management'!D25</f>
        <v/>
      </c>
      <c r="D6" s="20">
        <f>'Task Management'!F25</f>
        <v/>
      </c>
      <c r="E6" s="7">
        <f>'Task Management'!I25</f>
        <v/>
      </c>
      <c r="F6" s="7">
        <f>'Task Management'!J25</f>
        <v/>
      </c>
      <c r="G6" s="23">
        <f>'Task Management'!M25</f>
        <v/>
      </c>
      <c r="H6" s="4">
        <f>'Task Management'!L25</f>
        <v/>
      </c>
      <c r="I6" s="25" t="n"/>
      <c r="J6" s="25" t="n"/>
      <c r="K6" s="25" t="n"/>
      <c r="L6" s="26" t="inlineStr">
        <is>
          <t>■</t>
        </is>
      </c>
      <c r="M6" s="26" t="inlineStr">
        <is>
          <t>■</t>
        </is>
      </c>
      <c r="N6" s="26" t="inlineStr">
        <is>
          <t>■</t>
        </is>
      </c>
      <c r="O6" s="26" t="inlineStr">
        <is>
          <t>■</t>
        </is>
      </c>
      <c r="P6" s="26" t="inlineStr">
        <is>
          <t>■</t>
        </is>
      </c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</row>
    <row r="7" ht="24" customHeight="1">
      <c r="A7" s="4">
        <f>'Task Management'!A26</f>
        <v/>
      </c>
      <c r="B7" s="6">
        <f>'Task Management'!C26</f>
        <v/>
      </c>
      <c r="C7" s="6">
        <f>'Task Management'!D26</f>
        <v/>
      </c>
      <c r="D7" s="20">
        <f>'Task Management'!F26</f>
        <v/>
      </c>
      <c r="E7" s="7">
        <f>'Task Management'!I26</f>
        <v/>
      </c>
      <c r="F7" s="7">
        <f>'Task Management'!J26</f>
        <v/>
      </c>
      <c r="G7" s="23">
        <f>'Task Management'!M26</f>
        <v/>
      </c>
      <c r="H7" s="4">
        <f>'Task Management'!L26</f>
        <v/>
      </c>
      <c r="I7" s="25" t="n"/>
      <c r="J7" s="25" t="n"/>
      <c r="K7" s="25" t="n"/>
      <c r="L7" s="25" t="n"/>
      <c r="M7" s="25" t="n"/>
      <c r="N7" s="24" t="inlineStr">
        <is>
          <t>■</t>
        </is>
      </c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</row>
    <row r="8" ht="24" customHeight="1">
      <c r="A8" s="4">
        <f>'Task Management'!A27</f>
        <v/>
      </c>
      <c r="B8" s="6">
        <f>'Task Management'!C27</f>
        <v/>
      </c>
      <c r="C8" s="6">
        <f>'Task Management'!D27</f>
        <v/>
      </c>
      <c r="D8" s="20">
        <f>'Task Management'!F27</f>
        <v/>
      </c>
      <c r="E8" s="7">
        <f>'Task Management'!I27</f>
        <v/>
      </c>
      <c r="F8" s="7">
        <f>'Task Management'!J27</f>
        <v/>
      </c>
      <c r="G8" s="23">
        <f>'Task Management'!M27</f>
        <v/>
      </c>
      <c r="H8" s="4">
        <f>'Task Management'!L27</f>
        <v/>
      </c>
      <c r="I8" s="25" t="n"/>
      <c r="J8" s="24" t="inlineStr">
        <is>
          <t>■</t>
        </is>
      </c>
      <c r="K8" s="24" t="inlineStr">
        <is>
          <t>■</t>
        </is>
      </c>
      <c r="L8" s="24" t="inlineStr">
        <is>
          <t>■</t>
        </is>
      </c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</row>
    <row r="9" ht="24" customHeight="1">
      <c r="A9" s="4">
        <f>'Task Management'!A28</f>
        <v/>
      </c>
      <c r="B9" s="6">
        <f>'Task Management'!C28</f>
        <v/>
      </c>
      <c r="C9" s="6">
        <f>'Task Management'!D28</f>
        <v/>
      </c>
      <c r="D9" s="20">
        <f>'Task Management'!F28</f>
        <v/>
      </c>
      <c r="E9" s="7">
        <f>'Task Management'!I28</f>
        <v/>
      </c>
      <c r="F9" s="7">
        <f>'Task Management'!J28</f>
        <v/>
      </c>
      <c r="G9" s="23">
        <f>'Task Management'!M28</f>
        <v/>
      </c>
      <c r="H9" s="4">
        <f>'Task Management'!L28</f>
        <v/>
      </c>
      <c r="I9" s="25" t="n"/>
      <c r="J9" s="25" t="n"/>
      <c r="K9" s="25" t="n"/>
      <c r="L9" s="25" t="n"/>
      <c r="M9" s="26" t="inlineStr">
        <is>
          <t>■</t>
        </is>
      </c>
      <c r="N9" s="26" t="inlineStr">
        <is>
          <t>■</t>
        </is>
      </c>
      <c r="O9" s="26" t="inlineStr">
        <is>
          <t>■</t>
        </is>
      </c>
      <c r="P9" s="26" t="inlineStr">
        <is>
          <t>■</t>
        </is>
      </c>
      <c r="Q9" s="26" t="inlineStr">
        <is>
          <t>■</t>
        </is>
      </c>
      <c r="R9" s="25" t="n"/>
      <c r="S9" s="25" t="n"/>
      <c r="T9" s="25" t="n"/>
      <c r="U9" s="25" t="n"/>
      <c r="V9" s="25" t="n"/>
      <c r="W9" s="25" t="n"/>
      <c r="X9" s="25" t="n"/>
      <c r="Y9" s="25" t="n"/>
    </row>
    <row r="10" ht="24" customHeight="1">
      <c r="A10" s="4">
        <f>'Task Management'!A29</f>
        <v/>
      </c>
      <c r="B10" s="6">
        <f>'Task Management'!C29</f>
        <v/>
      </c>
      <c r="C10" s="6">
        <f>'Task Management'!D29</f>
        <v/>
      </c>
      <c r="D10" s="20">
        <f>'Task Management'!F29</f>
        <v/>
      </c>
      <c r="E10" s="7">
        <f>'Task Management'!I29</f>
        <v/>
      </c>
      <c r="F10" s="7">
        <f>'Task Management'!J29</f>
        <v/>
      </c>
      <c r="G10" s="23">
        <f>'Task Management'!M29</f>
        <v/>
      </c>
      <c r="H10" s="4">
        <f>'Task Management'!L29</f>
        <v/>
      </c>
      <c r="I10" s="25" t="n"/>
      <c r="J10" s="25" t="n"/>
      <c r="K10" s="25" t="n"/>
      <c r="L10" s="25" t="n"/>
      <c r="M10" s="25" t="n"/>
      <c r="N10" s="25" t="n"/>
      <c r="O10" s="27" t="inlineStr">
        <is>
          <t>□</t>
        </is>
      </c>
      <c r="P10" s="27" t="inlineStr">
        <is>
          <t>□</t>
        </is>
      </c>
      <c r="Q10" s="27" t="inlineStr">
        <is>
          <t>□</t>
        </is>
      </c>
      <c r="R10" s="27" t="inlineStr">
        <is>
          <t>□</t>
        </is>
      </c>
      <c r="S10" s="25" t="n"/>
      <c r="T10" s="25" t="n"/>
      <c r="U10" s="25" t="n"/>
      <c r="V10" s="25" t="n"/>
      <c r="W10" s="25" t="n"/>
      <c r="X10" s="25" t="n"/>
      <c r="Y10" s="25" t="n"/>
    </row>
    <row r="11" ht="24" customHeight="1">
      <c r="A11" s="4">
        <f>'Task Management'!A30</f>
        <v/>
      </c>
      <c r="B11" s="6">
        <f>'Task Management'!C30</f>
        <v/>
      </c>
      <c r="C11" s="6">
        <f>'Task Management'!D30</f>
        <v/>
      </c>
      <c r="D11" s="20">
        <f>'Task Management'!F30</f>
        <v/>
      </c>
      <c r="E11" s="7">
        <f>'Task Management'!I30</f>
        <v/>
      </c>
      <c r="F11" s="7">
        <f>'Task Management'!J30</f>
        <v/>
      </c>
      <c r="G11" s="23">
        <f>'Task Management'!M30</f>
        <v/>
      </c>
      <c r="H11" s="4">
        <f>'Task Management'!L30</f>
        <v/>
      </c>
      <c r="I11" s="25" t="n"/>
      <c r="J11" s="25" t="n"/>
      <c r="K11" s="25" t="n"/>
      <c r="L11" s="25" t="n"/>
      <c r="M11" s="26" t="inlineStr">
        <is>
          <t>■</t>
        </is>
      </c>
      <c r="N11" s="26" t="inlineStr">
        <is>
          <t>■</t>
        </is>
      </c>
      <c r="O11" s="26" t="inlineStr">
        <is>
          <t>■</t>
        </is>
      </c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</row>
    <row r="12" ht="24" customHeight="1">
      <c r="A12" s="4">
        <f>'Task Management'!A31</f>
        <v/>
      </c>
      <c r="B12" s="6">
        <f>'Task Management'!C31</f>
        <v/>
      </c>
      <c r="C12" s="6">
        <f>'Task Management'!D31</f>
        <v/>
      </c>
      <c r="D12" s="20">
        <f>'Task Management'!F31</f>
        <v/>
      </c>
      <c r="E12" s="7">
        <f>'Task Management'!I31</f>
        <v/>
      </c>
      <c r="F12" s="7">
        <f>'Task Management'!J31</f>
        <v/>
      </c>
      <c r="G12" s="23">
        <f>'Task Management'!M31</f>
        <v/>
      </c>
      <c r="H12" s="4">
        <f>'Task Management'!L31</f>
        <v/>
      </c>
      <c r="I12" s="25" t="n"/>
      <c r="J12" s="25" t="n"/>
      <c r="K12" s="25" t="n"/>
      <c r="L12" s="25" t="n"/>
      <c r="M12" s="25" t="n"/>
      <c r="N12" s="24" t="inlineStr">
        <is>
          <t>■</t>
        </is>
      </c>
      <c r="O12" s="24" t="inlineStr">
        <is>
          <t>■</t>
        </is>
      </c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</row>
    <row r="14">
      <c r="B14" s="28" t="inlineStr">
        <is>
          <t>CHÚ THÍCH TIẾN ĐỘ:</t>
        </is>
      </c>
      <c r="C14" s="29" t="inlineStr">
        <is>
          <t>■ Hoàn thành (Completed)</t>
        </is>
      </c>
      <c r="D14" s="30" t="inlineStr">
        <is>
          <t>■ Đang làm (In Progress)</t>
        </is>
      </c>
      <c r="E14" s="31" t="inlineStr">
        <is>
          <t>□ Chưa bắt đầu (Not Started)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2026-08-27T03:13:37Z</dcterms:created>
  <dcterms:modified xmlns:dcterms="http://purl.org/dc/terms/" xmlns:xsi="http://www.w3.org/2001/XMLSchema-instance" xsi:type="dcterms:W3CDTF">2026-08-27T03:13:37Z</dcterms:modified>
</cp:coreProperties>
</file>