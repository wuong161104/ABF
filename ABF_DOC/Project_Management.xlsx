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Task Management" sheetId="2" state="visible" r:id="rId2"/>
    <sheet xmlns:r="http://schemas.openxmlformats.org/officeDocument/2006/relationships" name="Gantt_Ch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10"/>
    </font>
    <font>
      <name val="Segoe UI"/>
      <b val="1"/>
      <color rgb="00FFFFFF"/>
      <sz val="10"/>
    </font>
    <font>
      <name val="Segoe UI"/>
      <b val="1"/>
      <color rgb="000F172A"/>
      <sz val="9"/>
    </font>
    <font>
      <name val="Segoe UI"/>
      <color rgb="001E293B"/>
      <sz val="9"/>
    </font>
    <font>
      <name val="Segoe UI"/>
      <b val="1"/>
      <color rgb="00FFFFFF"/>
      <sz val="8"/>
    </font>
    <font>
      <name val="Segoe UI"/>
      <b val="1"/>
      <color rgb="0016A34A"/>
      <sz val="11"/>
    </font>
    <font>
      <name val="Segoe UI"/>
      <b val="1"/>
      <color rgb="002563EB"/>
      <sz val="11"/>
    </font>
    <font>
      <name val="Segoe UI"/>
      <b val="1"/>
      <color rgb="0094A3B8"/>
      <sz val="11"/>
    </font>
    <font>
      <name val="Segoe UI"/>
      <b val="1"/>
      <color rgb="001E293B"/>
      <sz val="11"/>
    </font>
    <font>
      <name val="Segoe UI"/>
      <b val="1"/>
      <color rgb="0016A34A"/>
      <sz val="9"/>
    </font>
    <font>
      <name val="Segoe UI"/>
      <b val="1"/>
      <color rgb="002563EB"/>
      <sz val="9"/>
    </font>
    <font>
      <name val="Segoe UI"/>
      <b val="1"/>
      <color rgb="0064748B"/>
      <sz val="9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730A3"/>
        <bgColor rgb="003730A3"/>
      </patternFill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165" fontId="5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10" fillId="0" borderId="0" pivotButton="0" quotePrefix="0" xfId="0"/>
    <xf numFmtId="0" fontId="11" fillId="7" borderId="0" pivotButton="0" quotePrefix="0" xfId="0"/>
    <xf numFmtId="0" fontId="12" fillId="8" borderId="0" pivotButton="0" quotePrefix="0" xfId="0"/>
    <xf numFmtId="0" fontId="1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25" customWidth="1" min="4" max="4"/>
    <col width="22" customWidth="1" min="5" max="5"/>
    <col width="14" customWidth="1" min="6" max="6"/>
    <col width="15" customWidth="1" min="7" max="7"/>
    <col width="16" customWidth="1" min="8" max="8"/>
    <col width="12" customWidth="1" min="9" max="9"/>
    <col width="12" customWidth="1" min="10" max="10"/>
    <col width="14" customWidth="1" min="11" max="11"/>
    <col width="36" customWidth="1" min="12" max="12"/>
  </cols>
  <sheetData>
    <row r="1">
      <c r="A1" s="1" t="inlineStr">
        <is>
          <t>DANH MỤC DỰ ÁN &amp; QUẢN TRỊ DANH MỤC (PORTFOLIO PROJECTS)</t>
        </is>
      </c>
    </row>
    <row r="2">
      <c r="A2" s="2" t="inlineStr">
        <is>
          <t>Theo dõi tiến độ tổng thể, PIC phụ trách, PIC phê duyệt cấp BOD và tỷ lệ hoàn thành theo thời gian thực.</t>
        </is>
      </c>
    </row>
    <row r="4" ht="32" customHeight="1">
      <c r="A4" s="3" t="inlineStr">
        <is>
          <t>Mã Dự Án</t>
        </is>
      </c>
      <c r="B4" s="3" t="inlineStr">
        <is>
          <t>Tên Dự Án (Project Name)</t>
        </is>
      </c>
      <c r="C4" s="3" t="inlineStr">
        <is>
          <t>Mô Tả Mục Tiêu</t>
        </is>
      </c>
      <c r="D4" s="3" t="inlineStr">
        <is>
          <t>PIC Liên Quan / Thực Hiện</t>
        </is>
      </c>
      <c r="E4" s="3" t="inlineStr">
        <is>
          <t>PIC Phê Duyệt (Approver)</t>
        </is>
      </c>
      <c r="F4" s="3" t="inlineStr">
        <is>
          <t>Ngày Bắt Đầu</t>
        </is>
      </c>
      <c r="G4" s="3" t="inlineStr">
        <is>
          <t>Ngày Kết Thúc Dự Kiến</t>
        </is>
      </c>
      <c r="H4" s="3" t="inlineStr">
        <is>
          <t>Trạng Thái</t>
        </is>
      </c>
      <c r="I4" s="3" t="inlineStr">
        <is>
          <t>Tổng Task</t>
        </is>
      </c>
      <c r="J4" s="3" t="inlineStr">
        <is>
          <t>Task Xong</t>
        </is>
      </c>
      <c r="K4" s="3" t="inlineStr">
        <is>
          <t>Tiến Độ (%)</t>
        </is>
      </c>
      <c r="L4" s="3" t="inlineStr">
        <is>
          <t>Đánh Giá / Rủi Ro</t>
        </is>
      </c>
    </row>
    <row r="5" ht="28" customHeight="1">
      <c r="A5" s="4" t="inlineStr">
        <is>
          <t>PRJ-01</t>
        </is>
      </c>
      <c r="B5" s="5" t="inlineStr">
        <is>
          <t>Zalo Chatbot Integration</t>
        </is>
      </c>
      <c r="C5" s="6" t="inlineStr">
        <is>
          <t>Xây dựng Chatbot AI VIB Max Card tích hợp RAG trên Zalo Group chăm sóc khách hàng</t>
        </is>
      </c>
      <c r="D5" s="6" t="inlineStr">
        <is>
          <t>BA Team, Dev Team, AI Eng</t>
        </is>
      </c>
      <c r="E5" s="6" t="inlineStr">
        <is>
          <t>BOD (Trưởng ban DA)</t>
        </is>
      </c>
      <c r="F5" s="7" t="n">
        <v>46254</v>
      </c>
      <c r="G5" s="7" t="n">
        <v>46264</v>
      </c>
      <c r="H5" s="4" t="inlineStr">
        <is>
          <t>Đang thực hiện</t>
        </is>
      </c>
      <c r="I5" s="8">
        <f>COUNTIF('Task Management'!$B$5:$B$30, B5)</f>
        <v/>
      </c>
      <c r="J5" s="8">
        <f>COUNTIFS('Task Management'!$B$5:$B$30, B5, 'Task Management'!$L$5:$L$30, "Hoàn thành")</f>
        <v/>
      </c>
      <c r="K5" s="9">
        <f>IF(I5&gt;0, J5/I5, 0)</f>
        <v/>
      </c>
      <c r="L5" s="6" t="inlineStr">
        <is>
          <t>Đúng tiến độ, cần kiểm tra tải trên Zalo Group</t>
        </is>
      </c>
    </row>
    <row r="6" ht="28" customHeight="1">
      <c r="A6" s="4" t="inlineStr">
        <is>
          <t>PRJ-02</t>
        </is>
      </c>
      <c r="B6" s="5" t="inlineStr">
        <is>
          <t>TikTok Comments Processor</t>
        </is>
      </c>
      <c r="C6" s="6" t="inlineStr">
        <is>
          <t>Hệ thống tự động cào bình luận TikTok và phân tích trích xuất insights bằng Gemini 2.5 Flash</t>
        </is>
      </c>
      <c r="D6" s="6" t="inlineStr">
        <is>
          <t>AI Eng, Data Eng, Dev Team</t>
        </is>
      </c>
      <c r="E6" s="6" t="inlineStr">
        <is>
          <t>BOD (Giám đốc Sản phẩm)</t>
        </is>
      </c>
      <c r="F6" s="7" t="n">
        <v>46255</v>
      </c>
      <c r="G6" s="7" t="n">
        <v>46263</v>
      </c>
      <c r="H6" s="4" t="inlineStr">
        <is>
          <t>Đang thực hiện</t>
        </is>
      </c>
      <c r="I6" s="8">
        <f>COUNTIF('Task Management'!$B$5:$B$30, B6)</f>
        <v/>
      </c>
      <c r="J6" s="8">
        <f>COUNTIFS('Task Management'!$B$5:$B$30, B6, 'Task Management'!$L$5:$L$30, "Hoàn thành")</f>
        <v/>
      </c>
      <c r="K6" s="9">
        <f>IF(I6&gt;0, J6/I6, 0)</f>
        <v/>
      </c>
      <c r="L6" s="6" t="inlineStr">
        <is>
          <t>Đang mở rộng theo dõi chiến dịch đối thủ theo lệnh BOD</t>
        </is>
      </c>
    </row>
    <row r="7" ht="28" customHeight="1">
      <c r="A7" s="4" t="inlineStr">
        <is>
          <t>PRJ-03</t>
        </is>
      </c>
      <c r="B7" s="5" t="inlineStr">
        <is>
          <t>BOD Executive Dashboard</t>
        </is>
      </c>
      <c r="C7" s="6" t="inlineStr">
        <is>
          <t>Bảng điều hành số liệu thời gian thực và Bot Telegram tự động gửi báo cáo định kỳ cho Ban Giám Đốc</t>
        </is>
      </c>
      <c r="D7" s="6" t="inlineStr">
        <is>
          <t>Fullstack Dev, Data Analyst</t>
        </is>
      </c>
      <c r="E7" s="6" t="inlineStr">
        <is>
          <t>CEO / BOD</t>
        </is>
      </c>
      <c r="F7" s="7" t="n">
        <v>46258</v>
      </c>
      <c r="G7" s="7" t="n">
        <v>46265</v>
      </c>
      <c r="H7" s="4" t="inlineStr">
        <is>
          <t>Đang thực hiện</t>
        </is>
      </c>
      <c r="I7" s="8">
        <f>COUNTIF('Task Management'!$B$5:$B$30, B7)</f>
        <v/>
      </c>
      <c r="J7" s="8">
        <f>COUNTIFS('Task Management'!$B$5:$B$30, B7, 'Task Management'!$L$5:$L$30, "Hoàn thành")</f>
        <v/>
      </c>
      <c r="K7" s="9">
        <f>IF(I7&gt;0, J7/I7, 0)</f>
        <v/>
      </c>
      <c r="L7" s="6" t="inlineStr">
        <is>
          <t>Telegram Bot đã sẵn sàng, đang hoàn thiện giao diện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0" customWidth="1" min="3" max="3"/>
    <col width="42" customWidth="1" min="4" max="4"/>
    <col width="15" customWidth="1" min="5" max="5"/>
    <col width="15" customWidth="1" min="6" max="6"/>
    <col width="15" customWidth="1" min="7" max="7"/>
    <col width="14" customWidth="1" min="8" max="8"/>
    <col width="13" customWidth="1" min="9" max="9"/>
    <col width="13" customWidth="1" min="10" max="10"/>
    <col width="14" customWidth="1" min="11" max="11"/>
    <col width="16" customWidth="1" min="12" max="12"/>
    <col width="12" customWidth="1" min="13" max="13"/>
    <col width="38" customWidth="1" min="14" max="14"/>
  </cols>
  <sheetData>
    <row r="1">
      <c r="A1" s="1" t="inlineStr">
        <is>
          <t>BẢNG QUẢN LÝ CÔNG VIỆC CHI TIẾT (MAIN TASK &amp; SUB TASK)</t>
        </is>
      </c>
    </row>
    <row r="2">
      <c r="A2" s="2" t="inlineStr">
        <is>
          <t>Phân cấp nhiệm vụ chính (Main Task) và nhiệm vụ con (Sub Task), theo dõi PIC thực hiện, PIC phê duyệt, Deadline và Trạng thái.</t>
        </is>
      </c>
    </row>
    <row r="4" ht="32" customHeight="1">
      <c r="A4" s="10" t="inlineStr">
        <is>
          <t>Mã Task</t>
        </is>
      </c>
      <c r="B4" s="10" t="inlineStr">
        <is>
          <t>Thuộc Dự Án (Project)</t>
        </is>
      </c>
      <c r="C4" s="10" t="inlineStr">
        <is>
          <t>Hạng Mục Chính (Main Task)</t>
        </is>
      </c>
      <c r="D4" s="10" t="inlineStr">
        <is>
          <t>Công Việc Chi Tiết (Sub Task)</t>
        </is>
      </c>
      <c r="E4" s="10" t="inlineStr">
        <is>
          <t>Loại Task</t>
        </is>
      </c>
      <c r="F4" s="10" t="inlineStr">
        <is>
          <t>PIC Thực Hiện</t>
        </is>
      </c>
      <c r="G4" s="10" t="inlineStr">
        <is>
          <t>PIC Phê Duyệt</t>
        </is>
      </c>
      <c r="H4" s="10" t="inlineStr">
        <is>
          <t>Mức Ưu Tiên</t>
        </is>
      </c>
      <c r="I4" s="10" t="inlineStr">
        <is>
          <t>Ngày Bắt Đầu</t>
        </is>
      </c>
      <c r="J4" s="10" t="inlineStr">
        <is>
          <t>Hạn Chót (Due Date)</t>
        </is>
      </c>
      <c r="K4" s="10" t="inlineStr">
        <is>
          <t>Ngày Xong Thực Tế</t>
        </is>
      </c>
      <c r="L4" s="10" t="inlineStr">
        <is>
          <t>Trạng Thái</t>
        </is>
      </c>
      <c r="M4" s="10" t="inlineStr">
        <is>
          <t>Tiến Độ</t>
        </is>
      </c>
      <c r="N4" s="10" t="inlineStr">
        <is>
          <t>Ghi Chú / Kết Quả Đạt Được</t>
        </is>
      </c>
    </row>
    <row r="5" ht="26" customHeight="1">
      <c r="A5" s="4" t="inlineStr">
        <is>
          <t>TSK-001</t>
        </is>
      </c>
      <c r="B5" s="6" t="inlineStr">
        <is>
          <t>Zalo Chatbot Integration</t>
        </is>
      </c>
      <c r="C5" s="5" t="inlineStr">
        <is>
          <t>1. Thiết kế CSDL &amp; Kiến trúc Dữ liệu</t>
        </is>
      </c>
      <c r="D5" s="6" t="inlineStr">
        <is>
          <t>Thiết kế và khởi tạo Supabase PostgreSQL Schema (Tables: comments, insights, chat_logs)</t>
        </is>
      </c>
      <c r="E5" s="11" t="inlineStr">
        <is>
          <t>Kế hoạch</t>
        </is>
      </c>
      <c r="F5" s="6" t="inlineStr">
        <is>
          <t>BA Team</t>
        </is>
      </c>
      <c r="G5" s="6" t="inlineStr">
        <is>
          <t>Tech Lead</t>
        </is>
      </c>
      <c r="H5" s="11" t="inlineStr">
        <is>
          <t>Cao</t>
        </is>
      </c>
      <c r="I5" s="7" t="n">
        <v>46254</v>
      </c>
      <c r="J5" s="7" t="n">
        <v>46256</v>
      </c>
      <c r="K5" s="7" t="n">
        <v>46256</v>
      </c>
      <c r="L5" s="4" t="inlineStr">
        <is>
          <t>Hoàn thành</t>
        </is>
      </c>
      <c r="M5" s="9" t="n">
        <v>1</v>
      </c>
      <c r="N5" s="6" t="inlineStr">
        <is>
          <t>Đã deploy schema và test query thành công</t>
        </is>
      </c>
    </row>
    <row r="6" ht="26" customHeight="1">
      <c r="A6" s="12" t="inlineStr">
        <is>
          <t>TSK-002</t>
        </is>
      </c>
      <c r="B6" s="13" t="inlineStr">
        <is>
          <t>Zalo Chatbot Integration</t>
        </is>
      </c>
      <c r="C6" s="14" t="inlineStr">
        <is>
          <t>2. Phát triển Engine AI RAG &amp; Logic Thẻ</t>
        </is>
      </c>
      <c r="D6" s="13" t="inlineStr">
        <is>
          <t>Implement RAG Semantic Search &amp; Bộ quy tắc tính năng thẻ VIB (Embedding text-embedding-3-small)</t>
        </is>
      </c>
      <c r="E6" s="15" t="inlineStr">
        <is>
          <t>Kế hoạch</t>
        </is>
      </c>
      <c r="F6" s="13" t="inlineStr">
        <is>
          <t>Dev Team</t>
        </is>
      </c>
      <c r="G6" s="13" t="inlineStr">
        <is>
          <t>Tech Lead</t>
        </is>
      </c>
      <c r="H6" s="15" t="inlineStr">
        <is>
          <t>Cao</t>
        </is>
      </c>
      <c r="I6" s="16" t="n">
        <v>46257</v>
      </c>
      <c r="J6" s="16" t="n">
        <v>46261</v>
      </c>
      <c r="K6" s="16" t="n"/>
      <c r="L6" s="12" t="inlineStr">
        <is>
          <t>Đang thực hiện</t>
        </is>
      </c>
      <c r="M6" s="17" t="n">
        <v>0.8</v>
      </c>
      <c r="N6" s="13" t="inlineStr">
        <is>
          <t>Đang tối ưu độ chính xác phản hồi RAG</t>
        </is>
      </c>
    </row>
    <row r="7" ht="26" customHeight="1">
      <c r="A7" s="4" t="inlineStr">
        <is>
          <t>TSK-003</t>
        </is>
      </c>
      <c r="B7" s="6" t="inlineStr">
        <is>
          <t>Zalo Chatbot Integration</t>
        </is>
      </c>
      <c r="C7" s="5" t="inlineStr">
        <is>
          <t>3. Tích hợp Zalo Webhook &amp; Realtime Sync</t>
        </is>
      </c>
      <c r="D7" s="6" t="inlineStr">
        <is>
          <t>BOD Yêu cầu khẩn: Đồng bộ tin nhắn real-time trên Zalo Group khách hàng</t>
        </is>
      </c>
      <c r="E7" s="11" t="inlineStr">
        <is>
          <t>BOD Giao thêm</t>
        </is>
      </c>
      <c r="F7" s="6" t="inlineStr">
        <is>
          <t>AI Eng</t>
        </is>
      </c>
      <c r="G7" s="6" t="inlineStr">
        <is>
          <t>BOD</t>
        </is>
      </c>
      <c r="H7" s="11" t="inlineStr">
        <is>
          <t>Khẩn cấp</t>
        </is>
      </c>
      <c r="I7" s="7" t="n">
        <v>46259</v>
      </c>
      <c r="J7" s="7" t="n">
        <v>46259</v>
      </c>
      <c r="K7" s="7" t="n">
        <v>46259</v>
      </c>
      <c r="L7" s="4" t="inlineStr">
        <is>
          <t>Hoàn thành</t>
        </is>
      </c>
      <c r="M7" s="9" t="n">
        <v>1</v>
      </c>
      <c r="N7" s="6" t="inlineStr">
        <is>
          <t>Đã kích hoạt Zalo Webhook và xử lý độ trễ &lt; 1s</t>
        </is>
      </c>
    </row>
    <row r="8" ht="26" customHeight="1">
      <c r="A8" s="12" t="inlineStr">
        <is>
          <t>TSK-004</t>
        </is>
      </c>
      <c r="B8" s="13" t="inlineStr">
        <is>
          <t>TikTok Comments Processor</t>
        </is>
      </c>
      <c r="C8" s="14" t="inlineStr">
        <is>
          <t>1. Hệ thống Thu thập Dữ liệu (Scraping)</t>
        </is>
      </c>
      <c r="D8" s="13" t="inlineStr">
        <is>
          <t>Tích hợp API Apify TikTok Scraper &amp; Lập lịch tự động cào bình luận kênh mục tiêu</t>
        </is>
      </c>
      <c r="E8" s="15" t="inlineStr">
        <is>
          <t>Kế hoạch</t>
        </is>
      </c>
      <c r="F8" s="13" t="inlineStr">
        <is>
          <t>Dev Team</t>
        </is>
      </c>
      <c r="G8" s="13" t="inlineStr">
        <is>
          <t>Product Lead</t>
        </is>
      </c>
      <c r="H8" s="15" t="inlineStr">
        <is>
          <t>Cao</t>
        </is>
      </c>
      <c r="I8" s="16" t="n">
        <v>46255</v>
      </c>
      <c r="J8" s="16" t="n">
        <v>46257</v>
      </c>
      <c r="K8" s="16" t="n">
        <v>46257</v>
      </c>
      <c r="L8" s="12" t="inlineStr">
        <is>
          <t>Hoàn thành</t>
        </is>
      </c>
      <c r="M8" s="17" t="n">
        <v>1</v>
      </c>
      <c r="N8" s="13" t="inlineStr">
        <is>
          <t>Auto cào 500+ comment mỗi ngày</t>
        </is>
      </c>
    </row>
    <row r="9" ht="26" customHeight="1">
      <c r="A9" s="4" t="inlineStr">
        <is>
          <t>TSK-005</t>
        </is>
      </c>
      <c r="B9" s="6" t="inlineStr">
        <is>
          <t>TikTok Comments Processor</t>
        </is>
      </c>
      <c r="C9" s="5" t="inlineStr">
        <is>
          <t>2. AI Phân tích &amp; Trích xuất Insights</t>
        </is>
      </c>
      <c r="D9" s="6" t="inlineStr">
        <is>
          <t>Xây dựng pipeline phân tích cảm xúc &amp; trích xuất nhu cầu bằng Gemini 2.5 Flash (Structured JSON)</t>
        </is>
      </c>
      <c r="E9" s="11" t="inlineStr">
        <is>
          <t>Kế hoạch</t>
        </is>
      </c>
      <c r="F9" s="6" t="inlineStr">
        <is>
          <t>AI Eng</t>
        </is>
      </c>
      <c r="G9" s="6" t="inlineStr">
        <is>
          <t>Product Lead</t>
        </is>
      </c>
      <c r="H9" s="11" t="inlineStr">
        <is>
          <t>Trung bình</t>
        </is>
      </c>
      <c r="I9" s="7" t="n">
        <v>46258</v>
      </c>
      <c r="J9" s="7" t="n">
        <v>46262</v>
      </c>
      <c r="K9" s="7" t="n"/>
      <c r="L9" s="4" t="inlineStr">
        <is>
          <t>Đang thực hiện</t>
        </is>
      </c>
      <c r="M9" s="9" t="n">
        <v>0.7</v>
      </c>
      <c r="N9" s="6" t="inlineStr">
        <is>
          <t>Đang test prompt trích xuất Intent và Pain-points</t>
        </is>
      </c>
    </row>
    <row r="10" ht="26" customHeight="1">
      <c r="A10" s="12" t="inlineStr">
        <is>
          <t>TSK-006</t>
        </is>
      </c>
      <c r="B10" s="13" t="inlineStr">
        <is>
          <t>TikTok Comments Processor</t>
        </is>
      </c>
      <c r="C10" s="14" t="inlineStr">
        <is>
          <t>3. Giám sát Đối thủ &amp; Chiến dịch Promo</t>
        </is>
      </c>
      <c r="D10" s="13" t="inlineStr">
        <is>
          <t>BOD Yêu cầu: Theo dõi chiến dịch khuyến mãi mở thẻ của VPBank, Techcombank</t>
        </is>
      </c>
      <c r="E10" s="15" t="inlineStr">
        <is>
          <t>BOD Giao thêm</t>
        </is>
      </c>
      <c r="F10" s="13" t="inlineStr">
        <is>
          <t>AI Eng</t>
        </is>
      </c>
      <c r="G10" s="13" t="inlineStr">
        <is>
          <t>BOD</t>
        </is>
      </c>
      <c r="H10" s="15" t="inlineStr">
        <is>
          <t>Cao</t>
        </is>
      </c>
      <c r="I10" s="16" t="n">
        <v>46260</v>
      </c>
      <c r="J10" s="16" t="n">
        <v>46263</v>
      </c>
      <c r="K10" s="16" t="n"/>
      <c r="L10" s="12" t="inlineStr">
        <is>
          <t>Chưa bắt đầu</t>
        </is>
      </c>
      <c r="M10" s="17" t="n">
        <v>0</v>
      </c>
      <c r="N10" s="13" t="inlineStr">
        <is>
          <t>Đã nhận danh sách link kênh đối thủ từ BOD</t>
        </is>
      </c>
    </row>
    <row r="11" ht="26" customHeight="1">
      <c r="A11" s="4" t="inlineStr">
        <is>
          <t>TSK-007</t>
        </is>
      </c>
      <c r="B11" s="6" t="inlineStr">
        <is>
          <t>BOD Executive Dashboard</t>
        </is>
      </c>
      <c r="C11" s="5" t="inlineStr">
        <is>
          <t>1. Xây dựng Giao diện Điều hành (Web App)</t>
        </is>
      </c>
      <c r="D11" s="6" t="inlineStr">
        <is>
          <t>Phát triển Streamlit Executive Dashboard với bộ lọc tương tác, biểu đồ tỷ lệ chuyển đổi và RAG insights</t>
        </is>
      </c>
      <c r="E11" s="11" t="inlineStr">
        <is>
          <t>Kế hoạch</t>
        </is>
      </c>
      <c r="F11" s="6" t="inlineStr">
        <is>
          <t>Fullstack Dev</t>
        </is>
      </c>
      <c r="G11" s="6" t="inlineStr">
        <is>
          <t>CEO / BOD</t>
        </is>
      </c>
      <c r="H11" s="11" t="inlineStr">
        <is>
          <t>Cao</t>
        </is>
      </c>
      <c r="I11" s="7" t="n">
        <v>46258</v>
      </c>
      <c r="J11" s="7" t="n">
        <v>46260</v>
      </c>
      <c r="K11" s="7" t="n"/>
      <c r="L11" s="4" t="inlineStr">
        <is>
          <t>Đang thực hiện</t>
        </is>
      </c>
      <c r="M11" s="9" t="n">
        <v>0.85</v>
      </c>
      <c r="N11" s="6" t="inlineStr">
        <is>
          <t>Đã tích hợp xong biểu đồ phân tích và metrics</t>
        </is>
      </c>
    </row>
    <row r="12" ht="26" customHeight="1">
      <c r="A12" s="12" t="inlineStr">
        <is>
          <t>TSK-008</t>
        </is>
      </c>
      <c r="B12" s="13" t="inlineStr">
        <is>
          <t>BOD Executive Dashboard</t>
        </is>
      </c>
      <c r="C12" s="14" t="inlineStr">
        <is>
          <t>2. Tự động hóa Báo cáo Định kỳ (Telegram)</t>
        </is>
      </c>
      <c r="D12" s="13" t="inlineStr">
        <is>
          <t>BOD Yêu cầu: Phát triển Bot Telegram tự động tổng hợp số liệu tuần và gửi thông báo cho Ban Giám Đốc</t>
        </is>
      </c>
      <c r="E12" s="15" t="inlineStr">
        <is>
          <t>BOD Giao thêm</t>
        </is>
      </c>
      <c r="F12" s="13" t="inlineStr">
        <is>
          <t>Fullstack Dev</t>
        </is>
      </c>
      <c r="G12" s="13" t="inlineStr">
        <is>
          <t>CEO / BOD</t>
        </is>
      </c>
      <c r="H12" s="15" t="inlineStr">
        <is>
          <t>Cao</t>
        </is>
      </c>
      <c r="I12" s="16" t="n">
        <v>46259</v>
      </c>
      <c r="J12" s="16" t="n">
        <v>46260</v>
      </c>
      <c r="K12" s="16" t="n">
        <v>46260</v>
      </c>
      <c r="L12" s="12" t="inlineStr">
        <is>
          <t>Hoàn thành</t>
        </is>
      </c>
      <c r="M12" s="17" t="n">
        <v>1</v>
      </c>
      <c r="N12" s="13" t="inlineStr">
        <is>
          <t>Đã cấu hình n8n cron trigger định kỳ 8:00 sáng Thứ Hai</t>
        </is>
      </c>
    </row>
  </sheetData>
  <dataValidations count="3">
    <dataValidation sqref="E5:E100" showDropDown="0" showInputMessage="0" showErrorMessage="0" allowBlank="1" type="list">
      <formula1>"Kế hoạch,BOD Giao thêm,Phát sinh"</formula1>
    </dataValidation>
    <dataValidation sqref="H5:H100" showDropDown="0" showInputMessage="0" showErrorMessage="0" allowBlank="1" type="list">
      <formula1>"Khẩn cấp,Cao,Trung bình,Thấp"</formula1>
    </dataValidation>
    <dataValidation sqref="L5:L100" showDropDown="0" showInputMessage="0" showErrorMessage="0" allowBlank="1" type="list">
      <formula1>"Chưa bắt đầu,Đang thực hiện,Chờ phê duyệt,Hoàn thành,Tạm hoãn"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8" customWidth="1" min="3" max="3"/>
    <col width="15" customWidth="1" min="4" max="4"/>
    <col width="13" customWidth="1" min="5" max="5"/>
    <col width="13" customWidth="1" min="6" max="6"/>
    <col width="11" customWidth="1" min="7" max="7"/>
    <col width="16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</cols>
  <sheetData>
    <row r="1">
      <c r="A1" s="1" t="inlineStr">
        <is>
          <t>BIỂU ĐỒ TIẾN ĐỘ DỰ ÁN &amp; CÔNG VIỆC (GANTT CHART)</t>
        </is>
      </c>
    </row>
    <row r="2">
      <c r="A2" s="2" t="inlineStr">
        <is>
          <t>Trực quan hóa timeline thực hiện của từng Main Task / Sub Task theo từng ngày từ 20/08/2026 đến 05/09/2026.</t>
        </is>
      </c>
    </row>
    <row r="4" ht="28" customHeight="1">
      <c r="A4" s="18" t="inlineStr">
        <is>
          <t>Mã Task</t>
        </is>
      </c>
      <c r="B4" s="18" t="inlineStr">
        <is>
          <t>Dự Án</t>
        </is>
      </c>
      <c r="C4" s="18" t="inlineStr">
        <is>
          <t>Hạng Mục / Công Việc</t>
        </is>
      </c>
      <c r="D4" s="18" t="inlineStr">
        <is>
          <t>PIC</t>
        </is>
      </c>
      <c r="E4" s="18" t="inlineStr">
        <is>
          <t>Bắt Đầu</t>
        </is>
      </c>
      <c r="F4" s="18" t="inlineStr">
        <is>
          <t>Kết Thúc</t>
        </is>
      </c>
      <c r="G4" s="18" t="inlineStr">
        <is>
          <t>Tiến Độ</t>
        </is>
      </c>
      <c r="H4" s="18" t="inlineStr">
        <is>
          <t>Trạng Thái</t>
        </is>
      </c>
      <c r="I4" s="19" t="inlineStr">
        <is>
          <t>20/08</t>
        </is>
      </c>
      <c r="J4" s="19" t="inlineStr">
        <is>
          <t>21/08</t>
        </is>
      </c>
      <c r="K4" s="19" t="inlineStr">
        <is>
          <t>22/08</t>
        </is>
      </c>
      <c r="L4" s="19" t="inlineStr">
        <is>
          <t>23/08</t>
        </is>
      </c>
      <c r="M4" s="19" t="inlineStr">
        <is>
          <t>24/08</t>
        </is>
      </c>
      <c r="N4" s="19" t="inlineStr">
        <is>
          <t>25/08</t>
        </is>
      </c>
      <c r="O4" s="19" t="inlineStr">
        <is>
          <t>26/08</t>
        </is>
      </c>
      <c r="P4" s="19" t="inlineStr">
        <is>
          <t>27/08</t>
        </is>
      </c>
      <c r="Q4" s="19" t="inlineStr">
        <is>
          <t>28/08</t>
        </is>
      </c>
      <c r="R4" s="19" t="inlineStr">
        <is>
          <t>29/08</t>
        </is>
      </c>
      <c r="S4" s="19" t="inlineStr">
        <is>
          <t>30/08</t>
        </is>
      </c>
      <c r="T4" s="19" t="inlineStr">
        <is>
          <t>31/08</t>
        </is>
      </c>
      <c r="U4" s="19" t="inlineStr">
        <is>
          <t>01/09</t>
        </is>
      </c>
      <c r="V4" s="19" t="inlineStr">
        <is>
          <t>02/09</t>
        </is>
      </c>
      <c r="W4" s="19" t="inlineStr">
        <is>
          <t>03/09</t>
        </is>
      </c>
      <c r="X4" s="19" t="inlineStr">
        <is>
          <t>04/09</t>
        </is>
      </c>
      <c r="Y4" s="19" t="inlineStr">
        <is>
          <t>05/09</t>
        </is>
      </c>
    </row>
    <row r="5" ht="24" customHeight="1">
      <c r="A5" s="4">
        <f>'Task Management'!A5</f>
        <v/>
      </c>
      <c r="B5" s="6">
        <f>'Task Management'!B5</f>
        <v/>
      </c>
      <c r="C5" s="6">
        <f>'Task Management'!D5</f>
        <v/>
      </c>
      <c r="D5" s="11">
        <f>'Task Management'!F5</f>
        <v/>
      </c>
      <c r="E5" s="7">
        <f>'Task Management'!I5</f>
        <v/>
      </c>
      <c r="F5" s="7">
        <f>'Task Management'!J5</f>
        <v/>
      </c>
      <c r="G5" s="20">
        <f>'Task Management'!M5</f>
        <v/>
      </c>
      <c r="H5" s="4">
        <f>'Task Management'!L5</f>
        <v/>
      </c>
      <c r="I5" s="21" t="inlineStr">
        <is>
          <t>■</t>
        </is>
      </c>
      <c r="J5" s="21" t="inlineStr">
        <is>
          <t>■</t>
        </is>
      </c>
      <c r="K5" s="21" t="inlineStr">
        <is>
          <t>■</t>
        </is>
      </c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</row>
    <row r="6" ht="24" customHeight="1">
      <c r="A6" s="4">
        <f>'Task Management'!A6</f>
        <v/>
      </c>
      <c r="B6" s="6">
        <f>'Task Management'!B6</f>
        <v/>
      </c>
      <c r="C6" s="6">
        <f>'Task Management'!D6</f>
        <v/>
      </c>
      <c r="D6" s="11">
        <f>'Task Management'!F6</f>
        <v/>
      </c>
      <c r="E6" s="7">
        <f>'Task Management'!I6</f>
        <v/>
      </c>
      <c r="F6" s="7">
        <f>'Task Management'!J6</f>
        <v/>
      </c>
      <c r="G6" s="20">
        <f>'Task Management'!M6</f>
        <v/>
      </c>
      <c r="H6" s="4">
        <f>'Task Management'!L6</f>
        <v/>
      </c>
      <c r="I6" s="22" t="n"/>
      <c r="J6" s="22" t="n"/>
      <c r="K6" s="22" t="n"/>
      <c r="L6" s="23" t="inlineStr">
        <is>
          <t>■</t>
        </is>
      </c>
      <c r="M6" s="23" t="inlineStr">
        <is>
          <t>■</t>
        </is>
      </c>
      <c r="N6" s="23" t="inlineStr">
        <is>
          <t>■</t>
        </is>
      </c>
      <c r="O6" s="23" t="inlineStr">
        <is>
          <t>■</t>
        </is>
      </c>
      <c r="P6" s="23" t="inlineStr">
        <is>
          <t>■</t>
        </is>
      </c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</row>
    <row r="7" ht="24" customHeight="1">
      <c r="A7" s="4">
        <f>'Task Management'!A7</f>
        <v/>
      </c>
      <c r="B7" s="6">
        <f>'Task Management'!B7</f>
        <v/>
      </c>
      <c r="C7" s="6">
        <f>'Task Management'!D7</f>
        <v/>
      </c>
      <c r="D7" s="11">
        <f>'Task Management'!F7</f>
        <v/>
      </c>
      <c r="E7" s="7">
        <f>'Task Management'!I7</f>
        <v/>
      </c>
      <c r="F7" s="7">
        <f>'Task Management'!J7</f>
        <v/>
      </c>
      <c r="G7" s="20">
        <f>'Task Management'!M7</f>
        <v/>
      </c>
      <c r="H7" s="4">
        <f>'Task Management'!L7</f>
        <v/>
      </c>
      <c r="I7" s="22" t="n"/>
      <c r="J7" s="22" t="n"/>
      <c r="K7" s="22" t="n"/>
      <c r="L7" s="22" t="n"/>
      <c r="M7" s="22" t="n"/>
      <c r="N7" s="21" t="inlineStr">
        <is>
          <t>■</t>
        </is>
      </c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</row>
    <row r="8" ht="24" customHeight="1">
      <c r="A8" s="4">
        <f>'Task Management'!A8</f>
        <v/>
      </c>
      <c r="B8" s="6">
        <f>'Task Management'!B8</f>
        <v/>
      </c>
      <c r="C8" s="6">
        <f>'Task Management'!D8</f>
        <v/>
      </c>
      <c r="D8" s="11">
        <f>'Task Management'!F8</f>
        <v/>
      </c>
      <c r="E8" s="7">
        <f>'Task Management'!I8</f>
        <v/>
      </c>
      <c r="F8" s="7">
        <f>'Task Management'!J8</f>
        <v/>
      </c>
      <c r="G8" s="20">
        <f>'Task Management'!M8</f>
        <v/>
      </c>
      <c r="H8" s="4">
        <f>'Task Management'!L8</f>
        <v/>
      </c>
      <c r="I8" s="22" t="n"/>
      <c r="J8" s="21" t="inlineStr">
        <is>
          <t>■</t>
        </is>
      </c>
      <c r="K8" s="21" t="inlineStr">
        <is>
          <t>■</t>
        </is>
      </c>
      <c r="L8" s="21" t="inlineStr">
        <is>
          <t>■</t>
        </is>
      </c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</row>
    <row r="9" ht="24" customHeight="1">
      <c r="A9" s="4">
        <f>'Task Management'!A9</f>
        <v/>
      </c>
      <c r="B9" s="6">
        <f>'Task Management'!B9</f>
        <v/>
      </c>
      <c r="C9" s="6">
        <f>'Task Management'!D9</f>
        <v/>
      </c>
      <c r="D9" s="11">
        <f>'Task Management'!F9</f>
        <v/>
      </c>
      <c r="E9" s="7">
        <f>'Task Management'!I9</f>
        <v/>
      </c>
      <c r="F9" s="7">
        <f>'Task Management'!J9</f>
        <v/>
      </c>
      <c r="G9" s="20">
        <f>'Task Management'!M9</f>
        <v/>
      </c>
      <c r="H9" s="4">
        <f>'Task Management'!L9</f>
        <v/>
      </c>
      <c r="I9" s="22" t="n"/>
      <c r="J9" s="22" t="n"/>
      <c r="K9" s="22" t="n"/>
      <c r="L9" s="22" t="n"/>
      <c r="M9" s="23" t="inlineStr">
        <is>
          <t>■</t>
        </is>
      </c>
      <c r="N9" s="23" t="inlineStr">
        <is>
          <t>■</t>
        </is>
      </c>
      <c r="O9" s="23" t="inlineStr">
        <is>
          <t>■</t>
        </is>
      </c>
      <c r="P9" s="23" t="inlineStr">
        <is>
          <t>■</t>
        </is>
      </c>
      <c r="Q9" s="23" t="inlineStr">
        <is>
          <t>■</t>
        </is>
      </c>
      <c r="R9" s="22" t="n"/>
      <c r="S9" s="22" t="n"/>
      <c r="T9" s="22" t="n"/>
      <c r="U9" s="22" t="n"/>
      <c r="V9" s="22" t="n"/>
      <c r="W9" s="22" t="n"/>
      <c r="X9" s="22" t="n"/>
      <c r="Y9" s="22" t="n"/>
    </row>
    <row r="10" ht="24" customHeight="1">
      <c r="A10" s="4">
        <f>'Task Management'!A10</f>
        <v/>
      </c>
      <c r="B10" s="6">
        <f>'Task Management'!B10</f>
        <v/>
      </c>
      <c r="C10" s="6">
        <f>'Task Management'!D10</f>
        <v/>
      </c>
      <c r="D10" s="11">
        <f>'Task Management'!F10</f>
        <v/>
      </c>
      <c r="E10" s="7">
        <f>'Task Management'!I10</f>
        <v/>
      </c>
      <c r="F10" s="7">
        <f>'Task Management'!J10</f>
        <v/>
      </c>
      <c r="G10" s="20">
        <f>'Task Management'!M10</f>
        <v/>
      </c>
      <c r="H10" s="4">
        <f>'Task Management'!L10</f>
        <v/>
      </c>
      <c r="I10" s="22" t="n"/>
      <c r="J10" s="22" t="n"/>
      <c r="K10" s="22" t="n"/>
      <c r="L10" s="22" t="n"/>
      <c r="M10" s="22" t="n"/>
      <c r="N10" s="22" t="n"/>
      <c r="O10" s="24" t="inlineStr">
        <is>
          <t>□</t>
        </is>
      </c>
      <c r="P10" s="24" t="inlineStr">
        <is>
          <t>□</t>
        </is>
      </c>
      <c r="Q10" s="24" t="inlineStr">
        <is>
          <t>□</t>
        </is>
      </c>
      <c r="R10" s="24" t="inlineStr">
        <is>
          <t>□</t>
        </is>
      </c>
      <c r="S10" s="22" t="n"/>
      <c r="T10" s="22" t="n"/>
      <c r="U10" s="22" t="n"/>
      <c r="V10" s="22" t="n"/>
      <c r="W10" s="22" t="n"/>
      <c r="X10" s="22" t="n"/>
      <c r="Y10" s="22" t="n"/>
    </row>
    <row r="11" ht="24" customHeight="1">
      <c r="A11" s="4">
        <f>'Task Management'!A11</f>
        <v/>
      </c>
      <c r="B11" s="6">
        <f>'Task Management'!B11</f>
        <v/>
      </c>
      <c r="C11" s="6">
        <f>'Task Management'!D11</f>
        <v/>
      </c>
      <c r="D11" s="11">
        <f>'Task Management'!F11</f>
        <v/>
      </c>
      <c r="E11" s="7">
        <f>'Task Management'!I11</f>
        <v/>
      </c>
      <c r="F11" s="7">
        <f>'Task Management'!J11</f>
        <v/>
      </c>
      <c r="G11" s="20">
        <f>'Task Management'!M11</f>
        <v/>
      </c>
      <c r="H11" s="4">
        <f>'Task Management'!L11</f>
        <v/>
      </c>
      <c r="I11" s="22" t="n"/>
      <c r="J11" s="22" t="n"/>
      <c r="K11" s="22" t="n"/>
      <c r="L11" s="22" t="n"/>
      <c r="M11" s="23" t="inlineStr">
        <is>
          <t>■</t>
        </is>
      </c>
      <c r="N11" s="23" t="inlineStr">
        <is>
          <t>■</t>
        </is>
      </c>
      <c r="O11" s="23" t="inlineStr">
        <is>
          <t>■</t>
        </is>
      </c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</row>
    <row r="12" ht="24" customHeight="1">
      <c r="A12" s="4">
        <f>'Task Management'!A12</f>
        <v/>
      </c>
      <c r="B12" s="6">
        <f>'Task Management'!B12</f>
        <v/>
      </c>
      <c r="C12" s="6">
        <f>'Task Management'!D12</f>
        <v/>
      </c>
      <c r="D12" s="11">
        <f>'Task Management'!F12</f>
        <v/>
      </c>
      <c r="E12" s="7">
        <f>'Task Management'!I12</f>
        <v/>
      </c>
      <c r="F12" s="7">
        <f>'Task Management'!J12</f>
        <v/>
      </c>
      <c r="G12" s="20">
        <f>'Task Management'!M12</f>
        <v/>
      </c>
      <c r="H12" s="4">
        <f>'Task Management'!L12</f>
        <v/>
      </c>
      <c r="I12" s="22" t="n"/>
      <c r="J12" s="22" t="n"/>
      <c r="K12" s="22" t="n"/>
      <c r="L12" s="22" t="n"/>
      <c r="M12" s="22" t="n"/>
      <c r="N12" s="21" t="inlineStr">
        <is>
          <t>■</t>
        </is>
      </c>
      <c r="O12" s="21" t="inlineStr">
        <is>
          <t>■</t>
        </is>
      </c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</row>
    <row r="14">
      <c r="B14" s="25" t="inlineStr">
        <is>
          <t>CHÚ THÍCH TIẾN ĐỘ:</t>
        </is>
      </c>
      <c r="C14" s="26" t="inlineStr">
        <is>
          <t>■ Hoàn thành (Completed)</t>
        </is>
      </c>
      <c r="D14" s="27" t="inlineStr">
        <is>
          <t>■ Đang làm (In Progress)</t>
        </is>
      </c>
      <c r="E14" s="28" t="inlineStr">
        <is>
          <t>□ Chưa bắt đầu (Not Started)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2026-08-27T03:09:16Z</dcterms:created>
  <dcterms:modified xmlns:dcterms="http://purl.org/dc/terms/" xmlns:xsi="http://www.w3.org/2001/XMLSchema-instance" xsi:type="dcterms:W3CDTF">2026-08-27T03:09:16Z</dcterms:modified>
</cp:coreProperties>
</file>